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atthewXue\Desktop\"/>
    </mc:Choice>
  </mc:AlternateContent>
  <xr:revisionPtr revIDLastSave="0" documentId="13_ncr:1_{DA6916E6-7003-4210-8755-0884C55B9D53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Regression" sheetId="11" r:id="rId1"/>
    <sheet name="Model" sheetId="2" r:id="rId2"/>
    <sheet name="Trends" sheetId="3" r:id="rId3"/>
    <sheet name="Monthly" sheetId="12" r:id="rId4"/>
    <sheet name="20230630" sheetId="9" state="hidden" r:id="rId5"/>
    <sheet name="portrait" sheetId="8" state="hidden" r:id="rId6"/>
    <sheet name="inx" sheetId="10" state="hidden" r:id="rId7"/>
  </sheets>
  <definedNames>
    <definedName name="_xlnm._FilterDatabase" localSheetId="4" hidden="1">'20230630'!$A$9:$I$9</definedName>
    <definedName name="_xlnm._FilterDatabase" localSheetId="1" hidden="1">Model!$A$4:$J$57</definedName>
    <definedName name="solver_adj" localSheetId="1" hidden="1">Model!$B$2:$D$2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itr" localSheetId="1" hidden="1">2147483647</definedName>
    <definedName name="solver_lhs1" localSheetId="1" hidden="1">Model!$B$2</definedName>
    <definedName name="solver_lhs2" localSheetId="1" hidden="1">Model!$B$2</definedName>
    <definedName name="solver_lhs3" localSheetId="1" hidden="1">Model!$C$2</definedName>
    <definedName name="solver_lhs4" localSheetId="1" hidden="1">Model!$C$2</definedName>
    <definedName name="solver_lhs5" localSheetId="1" hidden="1">Model!$D$2</definedName>
    <definedName name="solver_lhs6" localSheetId="1" hidden="1">Model!$D$2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um" localSheetId="1" hidden="1">6</definedName>
    <definedName name="solver_num" localSheetId="2" hidden="1">0</definedName>
    <definedName name="solver_nwt" localSheetId="1" hidden="1">1</definedName>
    <definedName name="solver_opt" localSheetId="1" hidden="1">Model!$F$2</definedName>
    <definedName name="solver_opt" localSheetId="2" hidden="1">Trends!$X$13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1</definedName>
    <definedName name="solver_rhs2" localSheetId="1" hidden="1">0</definedName>
    <definedName name="solver_rhs3" localSheetId="1" hidden="1">1</definedName>
    <definedName name="solver_rhs4" localSheetId="1" hidden="1">0</definedName>
    <definedName name="solver_rhs5" localSheetId="1" hidden="1">1</definedName>
    <definedName name="solver_rhs6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2" l="1"/>
  <c r="M38" i="2"/>
  <c r="M7" i="2"/>
  <c r="M74" i="2"/>
  <c r="D10" i="2" s="1"/>
  <c r="M75" i="2"/>
  <c r="E10" i="2"/>
  <c r="N75" i="2"/>
  <c r="O75" i="2"/>
  <c r="P75" i="2"/>
  <c r="Q75" i="2"/>
  <c r="R75" i="2"/>
  <c r="S75" i="2"/>
  <c r="T75" i="2"/>
  <c r="N74" i="2"/>
  <c r="O74" i="2"/>
  <c r="P74" i="2"/>
  <c r="Q74" i="2"/>
  <c r="R74" i="2"/>
  <c r="S74" i="2"/>
  <c r="T74" i="2"/>
  <c r="B5" i="9"/>
  <c r="E7" i="9" s="1"/>
  <c r="G2" i="9"/>
  <c r="A9" i="10"/>
  <c r="A4" i="10"/>
  <c r="J8" i="10"/>
  <c r="I8" i="10"/>
  <c r="H8" i="10"/>
  <c r="J3" i="10"/>
  <c r="I3" i="10"/>
  <c r="I4" i="10"/>
  <c r="H3" i="10"/>
  <c r="G9" i="10"/>
  <c r="J9" i="10" s="1"/>
  <c r="J7" i="10" s="1"/>
  <c r="J10" i="10" s="1"/>
  <c r="F9" i="10"/>
  <c r="I9" i="10" s="1"/>
  <c r="I7" i="10" s="1"/>
  <c r="I10" i="10" s="1"/>
  <c r="F4" i="10"/>
  <c r="G4" i="10"/>
  <c r="J4" i="10" s="1"/>
  <c r="J2" i="10" s="1"/>
  <c r="J5" i="10" s="1"/>
  <c r="E9" i="10"/>
  <c r="H9" i="10" s="1"/>
  <c r="H7" i="10" s="1"/>
  <c r="H10" i="10" s="1"/>
  <c r="E4" i="10"/>
  <c r="H4" i="10" s="1"/>
  <c r="H2" i="10" s="1"/>
  <c r="H5" i="10" s="1"/>
  <c r="G30" i="9"/>
  <c r="H30" i="9"/>
  <c r="E30" i="9"/>
  <c r="I2" i="10"/>
  <c r="I5" i="10" s="1"/>
  <c r="E11" i="9"/>
  <c r="G11" i="9"/>
  <c r="H11" i="9" s="1"/>
  <c r="G33" i="9"/>
  <c r="H33" i="9"/>
  <c r="E33" i="9"/>
  <c r="E38" i="9"/>
  <c r="G38" i="9"/>
  <c r="H38" i="9" s="1"/>
  <c r="G41" i="9"/>
  <c r="H41" i="9" s="1"/>
  <c r="E25" i="9"/>
  <c r="G25" i="9"/>
  <c r="H25" i="9"/>
  <c r="E26" i="9"/>
  <c r="G26" i="9"/>
  <c r="H26" i="9" s="1"/>
  <c r="E23" i="9"/>
  <c r="G23" i="9"/>
  <c r="H23" i="9"/>
  <c r="E34" i="9"/>
  <c r="G34" i="9"/>
  <c r="H34" i="9"/>
  <c r="G24" i="9"/>
  <c r="H24" i="9" s="1"/>
  <c r="E24" i="9"/>
  <c r="E29" i="9"/>
  <c r="E41" i="9"/>
  <c r="G37" i="9"/>
  <c r="H37" i="9"/>
  <c r="E37" i="9"/>
  <c r="G19" i="9"/>
  <c r="H19" i="9" s="1"/>
  <c r="E19" i="9"/>
  <c r="E31" i="9"/>
  <c r="G31" i="9"/>
  <c r="H31" i="9"/>
  <c r="E27" i="9"/>
  <c r="G27" i="9"/>
  <c r="H27" i="9" s="1"/>
  <c r="E15" i="9"/>
  <c r="G15" i="9"/>
  <c r="H15" i="9" s="1"/>
  <c r="E14" i="9"/>
  <c r="G14" i="9"/>
  <c r="H14" i="9"/>
  <c r="E32" i="9"/>
  <c r="G32" i="9"/>
  <c r="H32" i="9" s="1"/>
  <c r="G12" i="9"/>
  <c r="H12" i="9" s="1"/>
  <c r="E12" i="9"/>
  <c r="G22" i="9"/>
  <c r="H22" i="9"/>
  <c r="E22" i="9"/>
  <c r="E39" i="9"/>
  <c r="G39" i="9"/>
  <c r="H39" i="9"/>
  <c r="E10" i="9"/>
  <c r="G10" i="9"/>
  <c r="G5" i="9" s="1"/>
  <c r="H10" i="9"/>
  <c r="G42" i="9"/>
  <c r="E42" i="9"/>
  <c r="G17" i="9"/>
  <c r="H17" i="9" s="1"/>
  <c r="E17" i="9"/>
  <c r="E35" i="9"/>
  <c r="G35" i="9"/>
  <c r="H35" i="9"/>
  <c r="E13" i="9"/>
  <c r="G13" i="9"/>
  <c r="G43" i="9"/>
  <c r="H43" i="9" s="1"/>
  <c r="E43" i="9"/>
  <c r="G40" i="9"/>
  <c r="H40" i="9"/>
  <c r="E40" i="9"/>
  <c r="G28" i="9"/>
  <c r="H28" i="9"/>
  <c r="E28" i="9"/>
  <c r="G18" i="9"/>
  <c r="H18" i="9"/>
  <c r="E18" i="9"/>
  <c r="E16" i="9"/>
  <c r="G16" i="9"/>
  <c r="H16" i="9"/>
  <c r="G29" i="9"/>
  <c r="H29" i="9" s="1"/>
  <c r="E36" i="9"/>
  <c r="G36" i="9"/>
  <c r="H36" i="9" s="1"/>
  <c r="G21" i="9"/>
  <c r="H21" i="9"/>
  <c r="E21" i="9"/>
  <c r="H13" i="9"/>
  <c r="H42" i="9"/>
  <c r="E20" i="9"/>
  <c r="G20" i="9"/>
  <c r="H20" i="9" s="1"/>
  <c r="E6" i="9"/>
  <c r="E8" i="9"/>
  <c r="B6" i="9"/>
  <c r="N8" i="2" l="1"/>
  <c r="N16" i="2"/>
  <c r="N24" i="2"/>
  <c r="N32" i="2"/>
  <c r="N40" i="2"/>
  <c r="N48" i="2"/>
  <c r="N10" i="2"/>
  <c r="N26" i="2"/>
  <c r="N42" i="2"/>
  <c r="N44" i="2"/>
  <c r="N29" i="2"/>
  <c r="N14" i="2"/>
  <c r="N30" i="2"/>
  <c r="N23" i="2"/>
  <c r="N39" i="2"/>
  <c r="N9" i="2"/>
  <c r="N17" i="2"/>
  <c r="N25" i="2"/>
  <c r="N33" i="2"/>
  <c r="N41" i="2"/>
  <c r="N49" i="2"/>
  <c r="N18" i="2"/>
  <c r="N34" i="2"/>
  <c r="N50" i="2"/>
  <c r="N21" i="2"/>
  <c r="N45" i="2"/>
  <c r="N38" i="2"/>
  <c r="N15" i="2"/>
  <c r="N47" i="2"/>
  <c r="N11" i="2"/>
  <c r="N19" i="2"/>
  <c r="N27" i="2"/>
  <c r="N35" i="2"/>
  <c r="N43" i="2"/>
  <c r="N51" i="2"/>
  <c r="N12" i="2"/>
  <c r="N20" i="2"/>
  <c r="N28" i="2"/>
  <c r="N36" i="2"/>
  <c r="N13" i="2"/>
  <c r="N37" i="2"/>
  <c r="N22" i="2"/>
  <c r="N46" i="2"/>
  <c r="N31" i="2"/>
  <c r="N7" i="2"/>
  <c r="G3" i="9"/>
  <c r="H2" i="9" s="1"/>
  <c r="G6" i="9"/>
  <c r="I7" i="9"/>
  <c r="I8" i="9"/>
  <c r="I6" i="9"/>
  <c r="O7" i="2"/>
  <c r="O38" i="2"/>
  <c r="M41" i="2"/>
  <c r="O41" i="2" s="1"/>
  <c r="B36" i="12"/>
  <c r="M32" i="2"/>
  <c r="O32" i="2" s="1"/>
  <c r="B27" i="12"/>
  <c r="M31" i="2"/>
  <c r="B26" i="12"/>
  <c r="B45" i="12"/>
  <c r="M50" i="2"/>
  <c r="B32" i="12"/>
  <c r="D33" i="12" s="1"/>
  <c r="M37" i="2"/>
  <c r="O37" i="2" s="1"/>
  <c r="M28" i="2"/>
  <c r="O28" i="2" s="1"/>
  <c r="B23" i="12"/>
  <c r="M27" i="2"/>
  <c r="B22" i="12"/>
  <c r="B30" i="12"/>
  <c r="M35" i="2"/>
  <c r="O35" i="2" s="1"/>
  <c r="B41" i="12"/>
  <c r="M46" i="2"/>
  <c r="O46" i="2" s="1"/>
  <c r="M33" i="2"/>
  <c r="O33" i="2" s="1"/>
  <c r="B28" i="12"/>
  <c r="D28" i="12" s="1"/>
  <c r="B19" i="12"/>
  <c r="M24" i="2"/>
  <c r="O24" i="2" s="1"/>
  <c r="B18" i="12"/>
  <c r="M23" i="2"/>
  <c r="M20" i="2"/>
  <c r="O20" i="2" s="1"/>
  <c r="B15" i="12"/>
  <c r="M19" i="2"/>
  <c r="O19" i="2" s="1"/>
  <c r="B14" i="12"/>
  <c r="B10" i="12"/>
  <c r="M15" i="2"/>
  <c r="M29" i="2"/>
  <c r="O29" i="2" s="1"/>
  <c r="B24" i="12"/>
  <c r="B20" i="12"/>
  <c r="D20" i="12" s="1"/>
  <c r="M25" i="2"/>
  <c r="O25" i="2" s="1"/>
  <c r="M30" i="2"/>
  <c r="O30" i="2" s="1"/>
  <c r="B25" i="12"/>
  <c r="M21" i="2"/>
  <c r="O21" i="2" s="1"/>
  <c r="B16" i="12"/>
  <c r="B7" i="12"/>
  <c r="M12" i="2"/>
  <c r="B9" i="12"/>
  <c r="M14" i="2"/>
  <c r="M42" i="2"/>
  <c r="O42" i="2" s="1"/>
  <c r="B37" i="12"/>
  <c r="B11" i="12"/>
  <c r="D11" i="12" s="1"/>
  <c r="M16" i="2"/>
  <c r="O16" i="2" s="1"/>
  <c r="B21" i="12"/>
  <c r="M26" i="2"/>
  <c r="B12" i="12"/>
  <c r="M17" i="2"/>
  <c r="O17" i="2" s="1"/>
  <c r="M8" i="2"/>
  <c r="O8" i="2" s="1"/>
  <c r="B3" i="12"/>
  <c r="B6" i="12"/>
  <c r="M11" i="2"/>
  <c r="B17" i="12"/>
  <c r="M22" i="2"/>
  <c r="O22" i="2" s="1"/>
  <c r="M9" i="2"/>
  <c r="B4" i="12"/>
  <c r="D4" i="12" s="1"/>
  <c r="M51" i="2"/>
  <c r="O51" i="2" s="1"/>
  <c r="B46" i="12"/>
  <c r="M45" i="2"/>
  <c r="O45" i="2" s="1"/>
  <c r="B40" i="12"/>
  <c r="B43" i="12"/>
  <c r="M48" i="2"/>
  <c r="B42" i="12"/>
  <c r="D42" i="12" s="1"/>
  <c r="M47" i="2"/>
  <c r="O47" i="2" s="1"/>
  <c r="B29" i="12"/>
  <c r="D29" i="12" s="1"/>
  <c r="M34" i="2"/>
  <c r="B5" i="12"/>
  <c r="M10" i="2"/>
  <c r="M44" i="2"/>
  <c r="O44" i="2" s="1"/>
  <c r="B39" i="12"/>
  <c r="M43" i="2"/>
  <c r="O43" i="2" s="1"/>
  <c r="B38" i="12"/>
  <c r="B31" i="12"/>
  <c r="D31" i="12" s="1"/>
  <c r="M36" i="2"/>
  <c r="M18" i="2"/>
  <c r="B13" i="12"/>
  <c r="B44" i="12"/>
  <c r="M49" i="2"/>
  <c r="O49" i="2" s="1"/>
  <c r="M40" i="2"/>
  <c r="O40" i="2" s="1"/>
  <c r="B35" i="12"/>
  <c r="B34" i="12"/>
  <c r="D34" i="12" s="1"/>
  <c r="M39" i="2"/>
  <c r="A2" i="2"/>
  <c r="B2" i="12"/>
  <c r="D3" i="12" s="1"/>
  <c r="F1" i="9" l="1"/>
  <c r="O14" i="2"/>
  <c r="O9" i="2"/>
  <c r="G4" i="9"/>
  <c r="O48" i="2"/>
  <c r="O26" i="2"/>
  <c r="O12" i="2"/>
  <c r="R8" i="2" s="1"/>
  <c r="O23" i="2"/>
  <c r="O50" i="2"/>
  <c r="O10" i="2"/>
  <c r="O11" i="2"/>
  <c r="D16" i="12"/>
  <c r="O15" i="2"/>
  <c r="O18" i="2"/>
  <c r="D5" i="12"/>
  <c r="O27" i="2"/>
  <c r="O31" i="2"/>
  <c r="D21" i="12"/>
  <c r="O39" i="2"/>
  <c r="O36" i="2"/>
  <c r="O34" i="2"/>
  <c r="D46" i="12"/>
  <c r="D25" i="12"/>
  <c r="D27" i="12"/>
  <c r="D43" i="12"/>
  <c r="D38" i="12"/>
  <c r="D40" i="12"/>
  <c r="D15" i="12"/>
  <c r="D22" i="12"/>
  <c r="D36" i="12"/>
  <c r="D12" i="12"/>
  <c r="D18" i="12"/>
  <c r="D39" i="12"/>
  <c r="D35" i="12"/>
  <c r="D23" i="12"/>
  <c r="D19" i="12"/>
  <c r="D32" i="12"/>
  <c r="D37" i="12"/>
  <c r="D24" i="12"/>
  <c r="D13" i="12"/>
  <c r="D26" i="12"/>
  <c r="D44" i="12"/>
  <c r="D17" i="12"/>
  <c r="D45" i="12"/>
  <c r="D6" i="12"/>
  <c r="D10" i="12"/>
  <c r="D41" i="12"/>
  <c r="D14" i="12"/>
  <c r="D7" i="12"/>
  <c r="D30" i="12"/>
  <c r="B8" i="12"/>
  <c r="D8" i="12" s="1"/>
  <c r="M13" i="2"/>
  <c r="O13" i="2" s="1"/>
  <c r="R7" i="2"/>
  <c r="R9" i="2"/>
  <c r="R10" i="2" l="1"/>
  <c r="T7" i="2"/>
  <c r="F7" i="2" s="1"/>
  <c r="G11" i="2" s="1"/>
  <c r="D9" i="12"/>
  <c r="F10" i="2"/>
  <c r="F9" i="2"/>
  <c r="F8" i="2" l="1"/>
  <c r="D11" i="2"/>
  <c r="F11" i="2" s="1"/>
  <c r="H11" i="2"/>
  <c r="I11" i="2" s="1"/>
  <c r="C2" i="12"/>
  <c r="E11" i="2" l="1"/>
  <c r="D12" i="2" s="1"/>
  <c r="F12" i="2" s="1"/>
  <c r="G12" i="2" l="1"/>
  <c r="E12" i="2"/>
  <c r="D13" i="2" s="1"/>
  <c r="H12" i="2" l="1"/>
  <c r="I12" i="2" s="1"/>
  <c r="C3" i="12"/>
  <c r="E3" i="12" s="1"/>
  <c r="G13" i="2"/>
  <c r="C4" i="12" s="1"/>
  <c r="F13" i="2"/>
  <c r="E13" i="2"/>
  <c r="D14" i="2" s="1"/>
  <c r="E4" i="12" l="1"/>
  <c r="H13" i="2"/>
  <c r="I13" i="2" s="1"/>
  <c r="G14" i="2"/>
  <c r="F14" i="2"/>
  <c r="E14" i="2"/>
  <c r="D15" i="2" s="1"/>
  <c r="H14" i="2" l="1"/>
  <c r="I14" i="2" s="1"/>
  <c r="C5" i="12"/>
  <c r="E5" i="12" s="1"/>
  <c r="G15" i="2"/>
  <c r="F15" i="2"/>
  <c r="E15" i="2"/>
  <c r="H15" i="2" l="1"/>
  <c r="I15" i="2" s="1"/>
  <c r="C6" i="12"/>
  <c r="E6" i="12" s="1"/>
  <c r="D16" i="2"/>
  <c r="G16" i="2"/>
  <c r="H16" i="2" l="1"/>
  <c r="I16" i="2" s="1"/>
  <c r="C7" i="12"/>
  <c r="E7" i="12" s="1"/>
  <c r="F16" i="2"/>
  <c r="E16" i="2"/>
  <c r="G17" i="2" s="1"/>
  <c r="C8" i="12" s="1"/>
  <c r="E8" i="12" l="1"/>
  <c r="D17" i="2"/>
  <c r="F17" i="2" s="1"/>
  <c r="H17" i="2"/>
  <c r="I17" i="2" s="1"/>
  <c r="E17" i="2" l="1"/>
  <c r="G18" i="2" s="1"/>
  <c r="H18" i="2" l="1"/>
  <c r="I18" i="2" s="1"/>
  <c r="C9" i="12"/>
  <c r="E9" i="12" s="1"/>
  <c r="D18" i="2"/>
  <c r="F18" i="2" s="1"/>
  <c r="E18" i="2" l="1"/>
  <c r="G19" i="2" s="1"/>
  <c r="H19" i="2" l="1"/>
  <c r="I19" i="2" s="1"/>
  <c r="C10" i="12"/>
  <c r="E10" i="12" s="1"/>
  <c r="D19" i="2"/>
  <c r="E19" i="2" s="1"/>
  <c r="G20" i="2" s="1"/>
  <c r="C11" i="12" s="1"/>
  <c r="E11" i="12" l="1"/>
  <c r="F19" i="2"/>
  <c r="H20" i="2"/>
  <c r="I20" i="2" s="1"/>
  <c r="D20" i="2"/>
  <c r="E20" i="2" l="1"/>
  <c r="D21" i="2" s="1"/>
  <c r="F20" i="2"/>
  <c r="E21" i="2" l="1"/>
  <c r="D22" i="2" s="1"/>
  <c r="F21" i="2"/>
  <c r="G21" i="2"/>
  <c r="C12" i="12" s="1"/>
  <c r="E12" i="12" s="1"/>
  <c r="F22" i="2" l="1"/>
  <c r="G22" i="2"/>
  <c r="C13" i="12" s="1"/>
  <c r="E13" i="12" s="1"/>
  <c r="H21" i="2"/>
  <c r="I21" i="2" s="1"/>
  <c r="E22" i="2"/>
  <c r="H22" i="2" l="1"/>
  <c r="I22" i="2" s="1"/>
  <c r="D23" i="2"/>
  <c r="G23" i="2"/>
  <c r="C14" i="12" s="1"/>
  <c r="E14" i="12" s="1"/>
  <c r="F23" i="2" l="1"/>
  <c r="E23" i="2"/>
  <c r="G24" i="2" s="1"/>
  <c r="C15" i="12" s="1"/>
  <c r="E15" i="12" s="1"/>
  <c r="H23" i="2"/>
  <c r="I23" i="2" s="1"/>
  <c r="H24" i="2" l="1"/>
  <c r="I24" i="2" s="1"/>
  <c r="D24" i="2"/>
  <c r="F24" i="2" l="1"/>
  <c r="E24" i="2"/>
  <c r="D25" i="2" l="1"/>
  <c r="G25" i="2"/>
  <c r="C16" i="12" s="1"/>
  <c r="E16" i="12" s="1"/>
  <c r="H25" i="2" l="1"/>
  <c r="I25" i="2" s="1"/>
  <c r="F25" i="2"/>
  <c r="E25" i="2"/>
  <c r="D26" i="2" l="1"/>
  <c r="G26" i="2"/>
  <c r="C17" i="12" s="1"/>
  <c r="E17" i="12" s="1"/>
  <c r="E26" i="2" l="1"/>
  <c r="F26" i="2"/>
  <c r="H26" i="2"/>
  <c r="I26" i="2" s="1"/>
  <c r="D27" i="2" l="1"/>
  <c r="G27" i="2"/>
  <c r="C18" i="12" s="1"/>
  <c r="E18" i="12" s="1"/>
  <c r="E27" i="2" l="1"/>
  <c r="D28" i="2" s="1"/>
  <c r="F27" i="2"/>
  <c r="H27" i="2"/>
  <c r="I27" i="2" s="1"/>
  <c r="F28" i="2" l="1"/>
  <c r="E28" i="2"/>
  <c r="G29" i="2" s="1"/>
  <c r="C20" i="12" s="1"/>
  <c r="G28" i="2"/>
  <c r="C19" i="12" s="1"/>
  <c r="E19" i="12" s="1"/>
  <c r="E20" i="12" l="1"/>
  <c r="H29" i="2"/>
  <c r="I29" i="2" s="1"/>
  <c r="H28" i="2"/>
  <c r="I28" i="2" s="1"/>
  <c r="D29" i="2"/>
  <c r="E29" i="2" l="1"/>
  <c r="G30" i="2" s="1"/>
  <c r="C21" i="12" s="1"/>
  <c r="E21" i="12" s="1"/>
  <c r="F29" i="2"/>
  <c r="D30" i="2" l="1"/>
  <c r="E30" i="2" s="1"/>
  <c r="D31" i="2" s="1"/>
  <c r="H30" i="2"/>
  <c r="I30" i="2" s="1"/>
  <c r="F30" i="2" l="1"/>
  <c r="F31" i="2"/>
  <c r="E31" i="2"/>
  <c r="D32" i="2" s="1"/>
  <c r="G31" i="2"/>
  <c r="C22" i="12" s="1"/>
  <c r="E22" i="12" s="1"/>
  <c r="E32" i="2" l="1"/>
  <c r="G33" i="2" s="1"/>
  <c r="C24" i="12" s="1"/>
  <c r="F32" i="2"/>
  <c r="H31" i="2"/>
  <c r="I31" i="2" s="1"/>
  <c r="G32" i="2"/>
  <c r="C23" i="12" s="1"/>
  <c r="E23" i="12" s="1"/>
  <c r="E24" i="12" l="1"/>
  <c r="H33" i="2"/>
  <c r="I33" i="2" s="1"/>
  <c r="D33" i="2"/>
  <c r="H32" i="2"/>
  <c r="I32" i="2" s="1"/>
  <c r="E33" i="2" l="1"/>
  <c r="D34" i="2" s="1"/>
  <c r="F33" i="2"/>
  <c r="E34" i="2" l="1"/>
  <c r="D35" i="2" s="1"/>
  <c r="F34" i="2"/>
  <c r="G34" i="2"/>
  <c r="C25" i="12" s="1"/>
  <c r="E25" i="12" s="1"/>
  <c r="G35" i="2" l="1"/>
  <c r="C26" i="12" s="1"/>
  <c r="E26" i="12" s="1"/>
  <c r="F35" i="2"/>
  <c r="E35" i="2"/>
  <c r="G36" i="2" s="1"/>
  <c r="C27" i="12" s="1"/>
  <c r="H34" i="2"/>
  <c r="I34" i="2" s="1"/>
  <c r="E27" i="12" l="1"/>
  <c r="H36" i="2"/>
  <c r="I36" i="2" s="1"/>
  <c r="D36" i="2"/>
  <c r="H35" i="2"/>
  <c r="I35" i="2" s="1"/>
  <c r="E36" i="2" l="1"/>
  <c r="D37" i="2" s="1"/>
  <c r="F36" i="2"/>
  <c r="F37" i="2" l="1"/>
  <c r="E37" i="2"/>
  <c r="D38" i="2" s="1"/>
  <c r="G37" i="2"/>
  <c r="C28" i="12" s="1"/>
  <c r="E28" i="12" s="1"/>
  <c r="H37" i="2" l="1"/>
  <c r="I37" i="2" s="1"/>
  <c r="E38" i="2"/>
  <c r="D39" i="2" s="1"/>
  <c r="F38" i="2"/>
  <c r="G38" i="2"/>
  <c r="C29" i="12" s="1"/>
  <c r="E29" i="12" s="1"/>
  <c r="G39" i="2" l="1"/>
  <c r="C30" i="12" s="1"/>
  <c r="E30" i="12" s="1"/>
  <c r="H38" i="2"/>
  <c r="I38" i="2" s="1"/>
  <c r="F39" i="2"/>
  <c r="E39" i="2"/>
  <c r="D40" i="2" s="1"/>
  <c r="E40" i="2" l="1"/>
  <c r="F40" i="2"/>
  <c r="G40" i="2"/>
  <c r="C31" i="12" s="1"/>
  <c r="E31" i="12" s="1"/>
  <c r="H39" i="2"/>
  <c r="I39" i="2" s="1"/>
  <c r="H40" i="2" l="1"/>
  <c r="I40" i="2" s="1"/>
  <c r="D41" i="2"/>
  <c r="G41" i="2"/>
  <c r="C32" i="12" s="1"/>
  <c r="E32" i="12" s="1"/>
  <c r="F41" i="2" l="1"/>
  <c r="E41" i="2"/>
  <c r="G42" i="2" s="1"/>
  <c r="C33" i="12" s="1"/>
  <c r="E33" i="12" s="1"/>
  <c r="H41" i="2"/>
  <c r="I41" i="2" s="1"/>
  <c r="D42" i="2" l="1"/>
  <c r="F42" i="2" s="1"/>
  <c r="H42" i="2"/>
  <c r="I42" i="2" s="1"/>
  <c r="E42" i="2" l="1"/>
  <c r="D43" i="2" s="1"/>
  <c r="F43" i="2" s="1"/>
  <c r="G43" i="2" l="1"/>
  <c r="C34" i="12" s="1"/>
  <c r="E34" i="12" s="1"/>
  <c r="E43" i="2"/>
  <c r="G44" i="2" s="1"/>
  <c r="H44" i="2" l="1"/>
  <c r="I44" i="2" s="1"/>
  <c r="C35" i="12"/>
  <c r="E35" i="12" s="1"/>
  <c r="H43" i="2"/>
  <c r="I43" i="2" s="1"/>
  <c r="D44" i="2"/>
  <c r="F44" i="2" s="1"/>
  <c r="E44" i="2" l="1"/>
  <c r="G45" i="2" s="1"/>
  <c r="C36" i="12" s="1"/>
  <c r="E36" i="12" s="1"/>
  <c r="D45" i="2" l="1"/>
  <c r="F45" i="2" s="1"/>
  <c r="H45" i="2"/>
  <c r="I45" i="2" s="1"/>
  <c r="E45" i="2" l="1"/>
  <c r="D46" i="2" l="1"/>
  <c r="G46" i="2"/>
  <c r="C37" i="12" s="1"/>
  <c r="E37" i="12" s="1"/>
  <c r="H46" i="2" l="1"/>
  <c r="I46" i="2" s="1"/>
  <c r="E46" i="2"/>
  <c r="G47" i="2" s="1"/>
  <c r="C38" i="12" s="1"/>
  <c r="E38" i="12" s="1"/>
  <c r="F46" i="2"/>
  <c r="D47" i="2" l="1"/>
  <c r="E47" i="2" s="1"/>
  <c r="G48" i="2" s="1"/>
  <c r="C39" i="12" s="1"/>
  <c r="E39" i="12" s="1"/>
  <c r="H47" i="2"/>
  <c r="I47" i="2" s="1"/>
  <c r="F47" i="2" l="1"/>
  <c r="H48" i="2"/>
  <c r="I48" i="2" s="1"/>
  <c r="D48" i="2"/>
  <c r="F48" i="2" l="1"/>
  <c r="E48" i="2"/>
  <c r="G49" i="2" s="1"/>
  <c r="C40" i="12" s="1"/>
  <c r="E40" i="12" s="1"/>
  <c r="H49" i="2" l="1"/>
  <c r="I49" i="2" s="1"/>
  <c r="D49" i="2"/>
  <c r="E49" i="2" l="1"/>
  <c r="D50" i="2" s="1"/>
  <c r="F49" i="2"/>
  <c r="G50" i="2" l="1"/>
  <c r="F50" i="2"/>
  <c r="E50" i="2"/>
  <c r="D51" i="2" s="1"/>
  <c r="H50" i="2" l="1"/>
  <c r="I50" i="2" s="1"/>
  <c r="C41" i="12"/>
  <c r="E41" i="12" s="1"/>
  <c r="G51" i="2"/>
  <c r="C42" i="12" s="1"/>
  <c r="E51" i="2"/>
  <c r="G52" i="2" s="1"/>
  <c r="C43" i="12" s="1"/>
  <c r="F51" i="2"/>
  <c r="E42" i="12" l="1"/>
  <c r="E43" i="12"/>
  <c r="H51" i="2"/>
  <c r="I51" i="2" s="1"/>
  <c r="H52" i="2"/>
  <c r="I52" i="2" s="1"/>
  <c r="D52" i="2"/>
  <c r="F52" i="2" l="1"/>
  <c r="E52" i="2"/>
  <c r="G53" i="2" l="1"/>
  <c r="C44" i="12" s="1"/>
  <c r="E44" i="12" s="1"/>
  <c r="D53" i="2"/>
  <c r="H53" i="2" l="1"/>
  <c r="I53" i="2" s="1"/>
  <c r="F53" i="2"/>
  <c r="E53" i="2"/>
  <c r="D54" i="2" l="1"/>
  <c r="G54" i="2"/>
  <c r="C45" i="12" s="1"/>
  <c r="E45" i="12" s="1"/>
  <c r="H54" i="2" l="1"/>
  <c r="I54" i="2" s="1"/>
  <c r="F54" i="2"/>
  <c r="E54" i="2"/>
  <c r="G55" i="2" s="1"/>
  <c r="C46" i="12" s="1"/>
  <c r="E46" i="12" s="1"/>
  <c r="H55" i="2" l="1"/>
  <c r="I55" i="2" s="1"/>
  <c r="E2" i="2" s="1"/>
  <c r="F2" i="2" s="1"/>
  <c r="G2" i="2" s="1"/>
  <c r="D55" i="2"/>
  <c r="E55" i="2" l="1"/>
  <c r="G58" i="2" s="1"/>
  <c r="C49" i="12" s="1"/>
  <c r="F55" i="2"/>
  <c r="G59" i="2" l="1"/>
  <c r="C50" i="12" s="1"/>
  <c r="E50" i="12" s="1"/>
  <c r="G56" i="2"/>
  <c r="C47" i="12" s="1"/>
  <c r="E47" i="12" s="1"/>
  <c r="G57" i="2"/>
  <c r="C48" i="12" s="1"/>
  <c r="E48" i="12" l="1"/>
  <c r="E49" i="12"/>
</calcChain>
</file>

<file path=xl/sharedStrings.xml><?xml version="1.0" encoding="utf-8"?>
<sst xmlns="http://schemas.openxmlformats.org/spreadsheetml/2006/main" count="274" uniqueCount="201">
  <si>
    <t>n</t>
  </si>
  <si>
    <t>alpha</t>
  </si>
  <si>
    <t>gamma</t>
  </si>
  <si>
    <t>delta</t>
  </si>
  <si>
    <t>SSE</t>
  </si>
  <si>
    <t>MSE</t>
  </si>
  <si>
    <t>s</t>
  </si>
  <si>
    <t xml:space="preserve">Forecast </t>
  </si>
  <si>
    <t xml:space="preserve">Squared </t>
  </si>
  <si>
    <t>Growth</t>
  </si>
  <si>
    <t>Made Last</t>
  </si>
  <si>
    <t>Forecast</t>
  </si>
  <si>
    <t>Time</t>
  </si>
  <si>
    <t>remark</t>
    <phoneticPr fontId="0" type="noConversion"/>
  </si>
  <si>
    <t>y</t>
  </si>
  <si>
    <t>Level</t>
  </si>
  <si>
    <t>Rate</t>
  </si>
  <si>
    <t>Factor</t>
  </si>
  <si>
    <t>Period</t>
  </si>
  <si>
    <t>Error</t>
  </si>
  <si>
    <t>y^</t>
  </si>
  <si>
    <t>Monthly</t>
    <phoneticPr fontId="0" type="noConversion"/>
  </si>
  <si>
    <t>AVG</t>
  </si>
  <si>
    <t>Actual</t>
    <phoneticPr fontId="0" type="noConversion"/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</si>
  <si>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</si>
  <si>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</si>
  <si>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</si>
  <si>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</si>
  <si>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</si>
  <si>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</si>
  <si>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</si>
  <si>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</si>
  <si>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</si>
  <si>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</si>
  <si>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%</t>
  </si>
  <si>
    <t>至</t>
  </si>
  <si>
    <t>管理本金：</t>
  </si>
  <si>
    <t>月度</t>
  </si>
  <si>
    <t>季度</t>
  </si>
  <si>
    <t>年化</t>
  </si>
  <si>
    <t>项目</t>
  </si>
  <si>
    <t>购买额</t>
  </si>
  <si>
    <t>汇添富碳中和主题混合A</t>
  </si>
  <si>
    <t>招商中证光伏产业指数C</t>
  </si>
  <si>
    <t>华安创业板50指数A</t>
  </si>
  <si>
    <t>前海开源中航军工A</t>
  </si>
  <si>
    <t>国泰大农业股票A</t>
  </si>
  <si>
    <t>前海开源MSCI中国A股消费C</t>
  </si>
  <si>
    <t>上投摩根日本精选股票(QDII)</t>
  </si>
  <si>
    <t>嘉实全球互联网股票型证券</t>
  </si>
  <si>
    <t>大成多策略混合(LOF)A</t>
  </si>
  <si>
    <t>银华食品饮料量化股票发起式A</t>
  </si>
  <si>
    <t>大成国企改革灵活配置混合</t>
  </si>
  <si>
    <t>泰达宏利逆向策略混合</t>
  </si>
  <si>
    <t>永赢中证全指医疗器械ETF发起联接A</t>
  </si>
  <si>
    <t>广发中证基建工程ETF联接A</t>
  </si>
  <si>
    <t>融通鑫新成长混合C</t>
  </si>
  <si>
    <t>汇添富中证新能源汽车产业指数（LOF）C</t>
  </si>
  <si>
    <t>信澳周期动力混合A</t>
  </si>
  <si>
    <t>博时中债1-3年国开行A</t>
  </si>
  <si>
    <t>工银黄金ETF联接C</t>
  </si>
  <si>
    <t>富荣沪深300指数增强A</t>
  </si>
  <si>
    <t>嘉实中证500ETF联接A</t>
  </si>
  <si>
    <t>华宝富时100A</t>
  </si>
  <si>
    <t>国金量化多因子A</t>
  </si>
  <si>
    <t>银华内需精选混合（LOF）</t>
  </si>
  <si>
    <t>万家双引擎灵活配置混合</t>
  </si>
  <si>
    <t>嘉实美国成长股票型证券</t>
  </si>
  <si>
    <t>博时标普500ETF联接A</t>
  </si>
  <si>
    <t>广发纳指100ETF联接（QDII）C</t>
  </si>
  <si>
    <t>中欧养老混合A</t>
  </si>
  <si>
    <t>大成360互联网+指数A</t>
  </si>
  <si>
    <t>委托人自测画像</t>
  </si>
  <si>
    <t>姓名：</t>
  </si>
  <si>
    <t>自测时间：</t>
  </si>
  <si>
    <t>委托人按自身情况勾选或填色</t>
  </si>
  <si>
    <t>1.</t>
  </si>
  <si>
    <t>现金投资占比</t>
  </si>
  <si>
    <t>2.</t>
  </si>
  <si>
    <t>投资风险敏感度</t>
  </si>
  <si>
    <t>按自身年龄、家庭情况，分配用于投资的现金</t>
  </si>
  <si>
    <t>对投资亏损的承受度</t>
  </si>
  <si>
    <t>20%持有—80%用于投资</t>
  </si>
  <si>
    <t>&lt;5%</t>
  </si>
  <si>
    <t>30%持有—70%用于投资</t>
  </si>
  <si>
    <t>&lt;10%</t>
  </si>
  <si>
    <t>50%持有—50%用于投资</t>
  </si>
  <si>
    <t>&lt;20%</t>
  </si>
  <si>
    <t>&lt;30%</t>
  </si>
  <si>
    <t>3.</t>
  </si>
  <si>
    <t>投资时长</t>
  </si>
  <si>
    <t>4.</t>
  </si>
  <si>
    <t>收益预期</t>
  </si>
  <si>
    <t>少于3年</t>
  </si>
  <si>
    <t>跑赢大盘及通胀水平，年化收益期望在3%水平上下</t>
  </si>
  <si>
    <t>3-5年</t>
  </si>
  <si>
    <t>年化收益期望在5%水平上下</t>
  </si>
  <si>
    <t>超过5年</t>
  </si>
  <si>
    <t>愿意承担高风险以获取高收益，年化收益期望高于8%</t>
  </si>
  <si>
    <t>博时创新经济混合C</t>
  </si>
  <si>
    <t>账面收益/损失额</t>
  </si>
  <si>
    <t>账面收益率</t>
  </si>
  <si>
    <t>实际收益/损失额</t>
  </si>
  <si>
    <t>实际收益率</t>
  </si>
  <si>
    <t>结算管理周期：</t>
  </si>
  <si>
    <t>结算日期：</t>
  </si>
  <si>
    <t>账面收益率：</t>
  </si>
  <si>
    <t>账面收益/本金：</t>
  </si>
  <si>
    <t>实际收益率：</t>
  </si>
  <si>
    <t>净收益：</t>
  </si>
  <si>
    <t>实际收益/本金：</t>
  </si>
  <si>
    <t>持有额</t>
  </si>
  <si>
    <t>现金增益</t>
  </si>
  <si>
    <t>欧元现汇</t>
  </si>
  <si>
    <t>‘#300 indx</t>
  </si>
  <si>
    <t>‘#500 indx</t>
  </si>
  <si>
    <t>-</t>
  </si>
  <si>
    <t>+</t>
  </si>
  <si>
    <t>low</t>
  </si>
  <si>
    <t>mid</t>
  </si>
  <si>
    <t>high</t>
  </si>
  <si>
    <t>share</t>
  </si>
  <si>
    <t>price</t>
  </si>
  <si>
    <t>尚正竞争优势混合发起A</t>
  </si>
  <si>
    <t>本金管理费(本金*0.37%)：</t>
  </si>
  <si>
    <t>收益提成(收益*5%)：</t>
  </si>
  <si>
    <t>账面收益：</t>
  </si>
  <si>
    <t>实际收益：</t>
  </si>
  <si>
    <t>2020-01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</si>
  <si>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</si>
  <si>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</si>
  <si>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</si>
  <si>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</si>
  <si>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</si>
  <si>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</si>
  <si>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</si>
  <si>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</si>
  <si>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</si>
  <si>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</si>
  <si>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</si>
  <si>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</si>
  <si>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</si>
  <si>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</si>
  <si>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</si>
  <si>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</si>
  <si>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</si>
  <si>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</si>
  <si>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</si>
  <si>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</si>
  <si>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</si>
  <si>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</si>
  <si>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</si>
  <si>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</si>
  <si>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</si>
  <si>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</si>
  <si>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</si>
  <si>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</si>
  <si>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</si>
  <si>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</si>
  <si>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</si>
  <si>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</si>
  <si>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</si>
  <si>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</si>
  <si>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</si>
  <si>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</si>
  <si>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</si>
  <si>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</si>
  <si>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</si>
  <si>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2020-02</t>
  </si>
  <si>
    <t>2021-07</t>
  </si>
  <si>
    <t>2021-08</t>
  </si>
  <si>
    <t>2022-08</t>
  </si>
  <si>
    <t>2023-09</t>
  </si>
  <si>
    <t>2023-10</t>
  </si>
  <si>
    <t>2023-11</t>
  </si>
  <si>
    <t>2023-12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</si>
  <si>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</si>
  <si>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</si>
  <si>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</si>
  <si>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</si>
  <si>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</si>
  <si>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</si>
  <si>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</si>
  <si>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</si>
  <si>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</si>
  <si>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</si>
  <si>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</si>
  <si>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</si>
  <si>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</si>
  <si>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</si>
  <si>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</si>
  <si>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Actual</t>
  </si>
  <si>
    <t>Actual%</t>
  </si>
  <si>
    <t>Forecast%</t>
  </si>
  <si>
    <t>2019-12</t>
  </si>
  <si>
    <t>Sesonal</t>
  </si>
  <si>
    <t>S[1]</t>
  </si>
  <si>
    <t>S[2]</t>
  </si>
  <si>
    <t>S[3]</t>
  </si>
  <si>
    <t>S[4]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</si>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</sst>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"/>
    <numFmt numFmtId="166" formatCode="0.0000"/>
    <numFmt numFmtId="167" formatCode="0.000_);[Red]\(0.000\)"/>
    <numFmt numFmtId="168" formatCode="0.0000_);[Red]\(0.0000\)"/>
    <numFmt numFmtId="169" formatCode="0.0000_ "/>
    <numFmt numFmtId="170" formatCode="0.00000"/>
    <numFmt numFmtId="171" formatCode="0.000"/>
    <numFmt numFmtId="172" formatCode="0.0%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theme="1"/>
      <name val="Ayuthaya"/>
    </font>
    <font>
      <b/>
      <sz val="12"/>
      <name val="Ayuthaya"/>
    </font>
    <font>
      <b/>
      <sz val="12"/>
      <color theme="0"/>
      <name val="Ayuthaya"/>
    </font>
    <font>
      <sz val="12"/>
      <color theme="0"/>
      <name val="Ayuthaya"/>
    </font>
    <font>
      <sz val="12"/>
      <name val="Ayuthaya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yuthaya"/>
    </font>
    <font>
      <b/>
      <sz val="12"/>
      <color rgb="FFFF0000"/>
      <name val="Ayuthaya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3" fillId="2" borderId="1" applyNumberFormat="0" applyAlignment="0" applyProtection="0"/>
    <xf numFmtId="0" fontId="4" fillId="3" borderId="2" applyNumberFormat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40">
    <xf numFmtId="0" fontId="0" fillId="0" borderId="0" xfId="0"/>
    <xf numFmtId="0" fontId="5" fillId="0" borderId="0" xfId="3" applyFont="1" applyAlignment="1">
      <alignment horizontal="left"/>
    </xf>
    <xf numFmtId="10" fontId="5" fillId="0" borderId="0" xfId="6" applyNumberFormat="1" applyFont="1" applyBorder="1" applyAlignment="1">
      <alignment horizontal="left"/>
    </xf>
    <xf numFmtId="10" fontId="5" fillId="0" borderId="0" xfId="6" applyNumberFormat="1" applyFont="1" applyBorder="1" applyAlignment="1">
      <alignment horizontal="right"/>
    </xf>
    <xf numFmtId="2" fontId="9" fillId="0" borderId="0" xfId="3" applyNumberFormat="1" applyFont="1" applyAlignment="1">
      <alignment horizontal="right"/>
    </xf>
    <xf numFmtId="0" fontId="2" fillId="0" borderId="0" xfId="3" applyAlignment="1">
      <alignment vertical="top"/>
    </xf>
    <xf numFmtId="0" fontId="10" fillId="0" borderId="0" xfId="3" applyFont="1" applyAlignment="1">
      <alignment vertical="top"/>
    </xf>
    <xf numFmtId="0" fontId="11" fillId="0" borderId="0" xfId="3" applyFont="1" applyAlignment="1">
      <alignment vertical="top"/>
    </xf>
    <xf numFmtId="0" fontId="2" fillId="0" borderId="0" xfId="3" applyAlignment="1">
      <alignment horizontal="center" vertical="top"/>
    </xf>
    <xf numFmtId="0" fontId="12" fillId="8" borderId="0" xfId="3" quotePrefix="1" applyFont="1" applyFill="1" applyAlignment="1">
      <alignment horizontal="center" vertical="top"/>
    </xf>
    <xf numFmtId="0" fontId="2" fillId="0" borderId="26" xfId="3" applyBorder="1" applyAlignment="1">
      <alignment vertical="top"/>
    </xf>
    <xf numFmtId="9" fontId="2" fillId="0" borderId="0" xfId="3" applyNumberFormat="1" applyAlignment="1">
      <alignment vertical="top"/>
    </xf>
    <xf numFmtId="0" fontId="2" fillId="0" borderId="13" xfId="3" applyBorder="1" applyAlignment="1">
      <alignment vertical="top"/>
    </xf>
    <xf numFmtId="0" fontId="2" fillId="0" borderId="27" xfId="3" applyBorder="1" applyAlignment="1">
      <alignment vertical="top"/>
    </xf>
    <xf numFmtId="0" fontId="5" fillId="0" borderId="0" xfId="0" applyFont="1"/>
    <xf numFmtId="172" fontId="9" fillId="9" borderId="0" xfId="6" applyNumberFormat="1" applyFont="1" applyFill="1" applyBorder="1" applyAlignment="1">
      <alignment horizontal="left" vertical="center"/>
    </xf>
    <xf numFmtId="0" fontId="6" fillId="5" borderId="0" xfId="3" applyFont="1" applyFill="1" applyAlignment="1">
      <alignment horizontal="left" vertical="center"/>
    </xf>
    <xf numFmtId="14" fontId="6" fillId="5" borderId="0" xfId="3" applyNumberFormat="1" applyFont="1" applyFill="1" applyAlignment="1">
      <alignment horizontal="left" vertical="center"/>
    </xf>
    <xf numFmtId="172" fontId="6" fillId="9" borderId="0" xfId="6" applyNumberFormat="1" applyFont="1" applyFill="1" applyBorder="1" applyAlignment="1">
      <alignment horizontal="left" vertical="center"/>
    </xf>
    <xf numFmtId="172" fontId="7" fillId="10" borderId="0" xfId="7" applyNumberFormat="1" applyFont="1" applyFill="1" applyBorder="1" applyAlignment="1">
      <alignment horizontal="left" vertical="center"/>
    </xf>
    <xf numFmtId="0" fontId="9" fillId="0" borderId="0" xfId="3" applyFont="1" applyAlignment="1">
      <alignment horizontal="right"/>
    </xf>
    <xf numFmtId="0" fontId="7" fillId="6" borderId="0" xfId="3" applyFont="1" applyFill="1" applyAlignment="1">
      <alignment horizontal="left"/>
    </xf>
    <xf numFmtId="0" fontId="7" fillId="6" borderId="0" xfId="3" applyFont="1" applyFill="1" applyAlignment="1">
      <alignment horizontal="center"/>
    </xf>
    <xf numFmtId="0" fontId="5" fillId="0" borderId="0" xfId="0" applyFont="1" applyAlignment="1">
      <alignment horizontal="center"/>
    </xf>
    <xf numFmtId="172" fontId="6" fillId="9" borderId="0" xfId="6" applyNumberFormat="1" applyFont="1" applyFill="1" applyBorder="1" applyAlignment="1">
      <alignment horizontal="right" vertical="center"/>
    </xf>
    <xf numFmtId="2" fontId="6" fillId="5" borderId="22" xfId="3" applyNumberFormat="1" applyFont="1" applyFill="1" applyBorder="1" applyAlignment="1">
      <alignment horizontal="left" vertical="center"/>
    </xf>
    <xf numFmtId="0" fontId="6" fillId="5" borderId="28" xfId="3" applyFont="1" applyFill="1" applyBorder="1" applyAlignment="1">
      <alignment horizontal="left" vertical="center"/>
    </xf>
    <xf numFmtId="0" fontId="6" fillId="5" borderId="25" xfId="3" applyFont="1" applyFill="1" applyBorder="1" applyAlignment="1">
      <alignment horizontal="left" vertical="center"/>
    </xf>
    <xf numFmtId="0" fontId="6" fillId="5" borderId="19" xfId="3" applyFont="1" applyFill="1" applyBorder="1" applyAlignment="1">
      <alignment horizontal="left" vertical="center"/>
    </xf>
    <xf numFmtId="0" fontId="6" fillId="5" borderId="20" xfId="3" applyFont="1" applyFill="1" applyBorder="1" applyAlignment="1">
      <alignment horizontal="left" vertical="center"/>
    </xf>
    <xf numFmtId="0" fontId="6" fillId="5" borderId="21" xfId="3" applyFont="1" applyFill="1" applyBorder="1" applyAlignment="1">
      <alignment horizontal="left" vertical="center"/>
    </xf>
    <xf numFmtId="0" fontId="6" fillId="5" borderId="29" xfId="3" applyFont="1" applyFill="1" applyBorder="1" applyAlignment="1">
      <alignment horizontal="right" vertical="center"/>
    </xf>
    <xf numFmtId="0" fontId="6" fillId="5" borderId="30" xfId="3" applyFont="1" applyFill="1" applyBorder="1" applyAlignment="1">
      <alignment horizontal="left" vertical="center"/>
    </xf>
    <xf numFmtId="0" fontId="6" fillId="5" borderId="31" xfId="3" applyFont="1" applyFill="1" applyBorder="1" applyAlignment="1">
      <alignment horizontal="left" vertical="center"/>
    </xf>
    <xf numFmtId="2" fontId="6" fillId="9" borderId="20" xfId="3" applyNumberFormat="1" applyFont="1" applyFill="1" applyBorder="1" applyAlignment="1">
      <alignment horizontal="left" vertical="center" wrapText="1"/>
    </xf>
    <xf numFmtId="0" fontId="14" fillId="9" borderId="20" xfId="3" applyFont="1" applyFill="1" applyBorder="1" applyAlignment="1">
      <alignment horizontal="right" vertical="center"/>
    </xf>
    <xf numFmtId="2" fontId="5" fillId="9" borderId="20" xfId="3" applyNumberFormat="1" applyFont="1" applyFill="1" applyBorder="1" applyAlignment="1">
      <alignment horizontal="left" vertical="center"/>
    </xf>
    <xf numFmtId="2" fontId="7" fillId="10" borderId="20" xfId="3" applyNumberFormat="1" applyFont="1" applyFill="1" applyBorder="1" applyAlignment="1">
      <alignment horizontal="left" vertical="center"/>
    </xf>
    <xf numFmtId="172" fontId="8" fillId="10" borderId="21" xfId="6" applyNumberFormat="1" applyFont="1" applyFill="1" applyBorder="1" applyAlignment="1">
      <alignment horizontal="left" vertical="center"/>
    </xf>
    <xf numFmtId="0" fontId="14" fillId="9" borderId="12" xfId="3" applyFont="1" applyFill="1" applyBorder="1" applyAlignment="1">
      <alignment horizontal="right" vertical="center"/>
    </xf>
    <xf numFmtId="172" fontId="8" fillId="10" borderId="14" xfId="6" applyNumberFormat="1" applyFont="1" applyFill="1" applyBorder="1" applyAlignment="1">
      <alignment horizontal="left" vertical="center"/>
    </xf>
    <xf numFmtId="0" fontId="9" fillId="9" borderId="12" xfId="3" applyFont="1" applyFill="1" applyBorder="1" applyAlignment="1">
      <alignment horizontal="right" vertical="center" wrapText="1"/>
    </xf>
    <xf numFmtId="0" fontId="5" fillId="9" borderId="15" xfId="3" applyFont="1" applyFill="1" applyBorder="1" applyAlignment="1">
      <alignment horizontal="left" vertical="center" wrapText="1"/>
    </xf>
    <xf numFmtId="172" fontId="6" fillId="9" borderId="16" xfId="6" applyNumberFormat="1" applyFont="1" applyFill="1" applyBorder="1" applyAlignment="1">
      <alignment horizontal="left" vertical="center"/>
    </xf>
    <xf numFmtId="2" fontId="7" fillId="10" borderId="16" xfId="3" applyNumberFormat="1" applyFont="1" applyFill="1" applyBorder="1" applyAlignment="1">
      <alignment horizontal="left" vertical="center"/>
    </xf>
    <xf numFmtId="0" fontId="15" fillId="10" borderId="16" xfId="3" applyFont="1" applyFill="1" applyBorder="1" applyAlignment="1">
      <alignment horizontal="right" vertical="center"/>
    </xf>
    <xf numFmtId="172" fontId="15" fillId="10" borderId="17" xfId="6" applyNumberFormat="1" applyFont="1" applyFill="1" applyBorder="1" applyAlignment="1">
      <alignment horizontal="left" vertical="center"/>
    </xf>
    <xf numFmtId="0" fontId="16" fillId="0" borderId="0" xfId="0" quotePrefix="1" applyFont="1"/>
    <xf numFmtId="0" fontId="16" fillId="0" borderId="0" xfId="0" applyFont="1"/>
    <xf numFmtId="9" fontId="16" fillId="0" borderId="0" xfId="7" applyFont="1"/>
    <xf numFmtId="0" fontId="7" fillId="10" borderId="20" xfId="3" applyFont="1" applyFill="1" applyBorder="1" applyAlignment="1">
      <alignment horizontal="right" vertical="center" wrapText="1"/>
    </xf>
    <xf numFmtId="0" fontId="5" fillId="9" borderId="0" xfId="3" applyFont="1" applyFill="1" applyAlignment="1">
      <alignment horizontal="right" vertical="center"/>
    </xf>
    <xf numFmtId="0" fontId="8" fillId="10" borderId="0" xfId="3" applyFont="1" applyFill="1" applyAlignment="1">
      <alignment horizontal="right" vertical="center"/>
    </xf>
    <xf numFmtId="2" fontId="7" fillId="10" borderId="0" xfId="3" applyNumberFormat="1" applyFont="1" applyFill="1" applyAlignment="1">
      <alignment horizontal="left" vertical="center"/>
    </xf>
    <xf numFmtId="0" fontId="7" fillId="10" borderId="19" xfId="3" applyFont="1" applyFill="1" applyBorder="1" applyAlignment="1">
      <alignment horizontal="right" vertical="center"/>
    </xf>
    <xf numFmtId="0" fontId="7" fillId="10" borderId="12" xfId="3" applyFont="1" applyFill="1" applyBorder="1" applyAlignment="1">
      <alignment horizontal="right" vertical="center"/>
    </xf>
    <xf numFmtId="0" fontId="7" fillId="10" borderId="15" xfId="3" applyFont="1" applyFill="1" applyBorder="1" applyAlignment="1">
      <alignment horizontal="right" vertical="center"/>
    </xf>
    <xf numFmtId="10" fontId="9" fillId="7" borderId="0" xfId="7" applyNumberFormat="1" applyFont="1" applyFill="1" applyAlignment="1">
      <alignment horizontal="right"/>
    </xf>
    <xf numFmtId="0" fontId="14" fillId="9" borderId="20" xfId="3" applyFont="1" applyFill="1" applyBorder="1" applyAlignment="1">
      <alignment horizontal="left" vertical="center"/>
    </xf>
    <xf numFmtId="0" fontId="6" fillId="9" borderId="16" xfId="3" applyFont="1" applyFill="1" applyBorder="1" applyAlignment="1">
      <alignment horizontal="right" vertical="center"/>
    </xf>
    <xf numFmtId="0" fontId="15" fillId="5" borderId="32" xfId="3" applyFont="1" applyFill="1" applyBorder="1" applyAlignment="1">
      <alignment horizontal="right" vertical="center"/>
    </xf>
    <xf numFmtId="2" fontId="15" fillId="5" borderId="33" xfId="3" applyNumberFormat="1" applyFont="1" applyFill="1" applyBorder="1" applyAlignment="1">
      <alignment horizontal="left" vertical="center"/>
    </xf>
    <xf numFmtId="0" fontId="6" fillId="5" borderId="33" xfId="3" applyFont="1" applyFill="1" applyBorder="1" applyAlignment="1">
      <alignment horizontal="left" vertical="center"/>
    </xf>
    <xf numFmtId="0" fontId="6" fillId="5" borderId="34" xfId="3" applyFont="1" applyFill="1" applyBorder="1" applyAlignment="1">
      <alignment horizontal="left" vertical="center"/>
    </xf>
    <xf numFmtId="0" fontId="6" fillId="9" borderId="19" xfId="3" applyFont="1" applyFill="1" applyBorder="1" applyAlignment="1">
      <alignment horizontal="right" vertical="center"/>
    </xf>
    <xf numFmtId="0" fontId="17" fillId="0" borderId="3" xfId="1" applyFont="1" applyBorder="1" applyAlignment="1">
      <alignment horizontal="center"/>
    </xf>
    <xf numFmtId="0" fontId="17" fillId="0" borderId="4" xfId="1" applyFont="1" applyBorder="1" applyAlignment="1">
      <alignment horizontal="center" vertical="center"/>
    </xf>
    <xf numFmtId="164" fontId="17" fillId="0" borderId="4" xfId="2" applyFont="1" applyBorder="1" applyAlignment="1">
      <alignment horizontal="center" vertical="center"/>
    </xf>
    <xf numFmtId="0" fontId="17" fillId="0" borderId="4" xfId="1" applyFont="1" applyBorder="1" applyAlignment="1">
      <alignment horizontal="center"/>
    </xf>
    <xf numFmtId="3" fontId="17" fillId="0" borderId="5" xfId="1" applyNumberFormat="1" applyFont="1" applyBorder="1" applyAlignment="1">
      <alignment horizontal="center"/>
    </xf>
    <xf numFmtId="165" fontId="17" fillId="0" borderId="0" xfId="3" applyNumberFormat="1" applyFont="1"/>
    <xf numFmtId="165" fontId="17" fillId="0" borderId="0" xfId="1" applyNumberFormat="1" applyFont="1"/>
    <xf numFmtId="0" fontId="18" fillId="0" borderId="0" xfId="3" applyFont="1"/>
    <xf numFmtId="0" fontId="17" fillId="0" borderId="0" xfId="3" applyFont="1"/>
    <xf numFmtId="0" fontId="19" fillId="0" borderId="0" xfId="3" applyFont="1" applyAlignment="1">
      <alignment horizontal="center"/>
    </xf>
    <xf numFmtId="0" fontId="17" fillId="0" borderId="0" xfId="3" applyFont="1" applyAlignment="1">
      <alignment horizontal="left"/>
    </xf>
    <xf numFmtId="0" fontId="17" fillId="0" borderId="6" xfId="1" applyFont="1" applyBorder="1" applyAlignment="1">
      <alignment horizontal="center"/>
    </xf>
    <xf numFmtId="166" fontId="20" fillId="2" borderId="7" xfId="4" applyNumberFormat="1" applyFont="1" applyBorder="1" applyAlignment="1">
      <alignment horizontal="center" vertical="center"/>
    </xf>
    <xf numFmtId="1" fontId="19" fillId="3" borderId="7" xfId="5" applyNumberFormat="1" applyFont="1" applyBorder="1" applyAlignment="1">
      <alignment horizontal="center"/>
    </xf>
    <xf numFmtId="1" fontId="17" fillId="0" borderId="7" xfId="1" applyNumberFormat="1" applyFont="1" applyBorder="1" applyAlignment="1">
      <alignment horizontal="center"/>
    </xf>
    <xf numFmtId="3" fontId="17" fillId="0" borderId="8" xfId="1" applyNumberFormat="1" applyFont="1" applyBorder="1" applyAlignment="1">
      <alignment horizontal="center"/>
    </xf>
    <xf numFmtId="0" fontId="17" fillId="0" borderId="0" xfId="1" applyFont="1"/>
    <xf numFmtId="164" fontId="17" fillId="0" borderId="0" xfId="2" applyFont="1" applyAlignment="1">
      <alignment horizontal="center"/>
    </xf>
    <xf numFmtId="166" fontId="17" fillId="0" borderId="0" xfId="1" applyNumberFormat="1" applyFont="1" applyAlignment="1">
      <alignment horizontal="center"/>
    </xf>
    <xf numFmtId="166" fontId="21" fillId="0" borderId="0" xfId="1" applyNumberFormat="1" applyFont="1" applyAlignment="1">
      <alignment horizontal="center"/>
    </xf>
    <xf numFmtId="3" fontId="17" fillId="0" borderId="0" xfId="1" applyNumberFormat="1" applyFont="1" applyAlignment="1">
      <alignment horizontal="center"/>
    </xf>
    <xf numFmtId="165" fontId="17" fillId="0" borderId="0" xfId="1" applyNumberFormat="1" applyFont="1" applyAlignment="1">
      <alignment horizontal="center"/>
    </xf>
    <xf numFmtId="0" fontId="22" fillId="0" borderId="0" xfId="1" applyFont="1"/>
    <xf numFmtId="3" fontId="22" fillId="0" borderId="0" xfId="1" applyNumberFormat="1" applyFont="1" applyAlignment="1">
      <alignment horizontal="center"/>
    </xf>
    <xf numFmtId="165" fontId="22" fillId="0" borderId="0" xfId="1" applyNumberFormat="1" applyFont="1"/>
    <xf numFmtId="165" fontId="22" fillId="0" borderId="0" xfId="1" applyNumberFormat="1" applyFont="1" applyAlignment="1">
      <alignment horizontal="center"/>
    </xf>
    <xf numFmtId="0" fontId="23" fillId="0" borderId="0" xfId="3" applyFont="1"/>
    <xf numFmtId="0" fontId="24" fillId="0" borderId="0" xfId="3" applyFont="1"/>
    <xf numFmtId="0" fontId="25" fillId="0" borderId="0" xfId="3" applyFont="1" applyAlignment="1">
      <alignment horizontal="center"/>
    </xf>
    <xf numFmtId="0" fontId="22" fillId="0" borderId="0" xfId="3" applyFont="1" applyAlignment="1">
      <alignment horizontal="left"/>
    </xf>
    <xf numFmtId="0" fontId="22" fillId="0" borderId="0" xfId="1" applyFont="1" applyAlignment="1">
      <alignment horizontal="center"/>
    </xf>
    <xf numFmtId="0" fontId="22" fillId="0" borderId="0" xfId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9" xfId="3" applyFont="1" applyBorder="1" applyAlignment="1">
      <alignment horizontal="center"/>
    </xf>
    <xf numFmtId="0" fontId="22" fillId="0" borderId="10" xfId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22" fillId="0" borderId="0" xfId="3" applyFont="1"/>
    <xf numFmtId="3" fontId="24" fillId="0" borderId="0" xfId="3" applyNumberFormat="1" applyFont="1"/>
    <xf numFmtId="165" fontId="24" fillId="0" borderId="0" xfId="3" applyNumberFormat="1" applyFont="1"/>
    <xf numFmtId="167" fontId="22" fillId="0" borderId="0" xfId="1" applyNumberFormat="1" applyFont="1" applyProtection="1">
      <protection locked="0"/>
    </xf>
    <xf numFmtId="168" fontId="24" fillId="0" borderId="0" xfId="3" applyNumberFormat="1" applyFont="1"/>
    <xf numFmtId="169" fontId="26" fillId="0" borderId="12" xfId="3" applyNumberFormat="1" applyFont="1" applyBorder="1" applyAlignment="1">
      <alignment horizontal="center"/>
    </xf>
    <xf numFmtId="170" fontId="27" fillId="2" borderId="13" xfId="4" applyNumberFormat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166" fontId="25" fillId="0" borderId="0" xfId="3" applyNumberFormat="1" applyFont="1" applyAlignment="1">
      <alignment horizontal="center"/>
    </xf>
    <xf numFmtId="171" fontId="17" fillId="0" borderId="0" xfId="1" applyNumberFormat="1" applyFont="1" applyAlignment="1">
      <alignment horizontal="center"/>
    </xf>
    <xf numFmtId="171" fontId="22" fillId="0" borderId="0" xfId="1" applyNumberFormat="1" applyFont="1"/>
    <xf numFmtId="166" fontId="22" fillId="0" borderId="0" xfId="1" applyNumberFormat="1" applyFont="1" applyAlignment="1">
      <alignment horizontal="center"/>
    </xf>
    <xf numFmtId="1" fontId="23" fillId="0" borderId="0" xfId="3" applyNumberFormat="1" applyFont="1" applyAlignment="1">
      <alignment horizontal="left"/>
    </xf>
    <xf numFmtId="0" fontId="26" fillId="0" borderId="0" xfId="3" applyFont="1"/>
    <xf numFmtId="14" fontId="22" fillId="0" borderId="0" xfId="1" quotePrefix="1" applyNumberFormat="1" applyFont="1" applyAlignment="1">
      <alignment horizontal="center"/>
    </xf>
    <xf numFmtId="0" fontId="28" fillId="0" borderId="0" xfId="3" applyFont="1"/>
    <xf numFmtId="0" fontId="10" fillId="0" borderId="0" xfId="3" applyFont="1"/>
    <xf numFmtId="0" fontId="24" fillId="0" borderId="0" xfId="0" applyFont="1"/>
    <xf numFmtId="0" fontId="0" fillId="0" borderId="16" xfId="0" applyBorder="1"/>
    <xf numFmtId="0" fontId="30" fillId="0" borderId="18" xfId="0" applyFont="1" applyBorder="1" applyAlignment="1">
      <alignment horizontal="center"/>
    </xf>
    <xf numFmtId="0" fontId="30" fillId="0" borderId="18" xfId="0" applyFont="1" applyBorder="1" applyAlignment="1">
      <alignment horizontal="centerContinuous"/>
    </xf>
    <xf numFmtId="0" fontId="31" fillId="0" borderId="18" xfId="0" applyFont="1" applyBorder="1" applyAlignment="1">
      <alignment horizontal="center"/>
    </xf>
    <xf numFmtId="0" fontId="24" fillId="0" borderId="16" xfId="0" applyFont="1" applyBorder="1"/>
    <xf numFmtId="1" fontId="10" fillId="0" borderId="0" xfId="0" applyNumberFormat="1" applyFont="1" applyAlignment="1">
      <alignment horizontal="center"/>
    </xf>
    <xf numFmtId="0" fontId="10" fillId="12" borderId="0" xfId="0" applyFont="1" applyFill="1" applyAlignment="1">
      <alignment horizontal="center"/>
    </xf>
    <xf numFmtId="164" fontId="10" fillId="0" borderId="0" xfId="2" applyFont="1" applyFill="1" applyAlignment="1">
      <alignment horizontal="center"/>
    </xf>
    <xf numFmtId="0" fontId="10" fillId="0" borderId="0" xfId="0" applyFont="1" applyAlignment="1">
      <alignment horizontal="center"/>
    </xf>
    <xf numFmtId="14" fontId="17" fillId="0" borderId="0" xfId="1" quotePrefix="1" applyNumberFormat="1" applyFont="1" applyAlignment="1">
      <alignment horizontal="center"/>
    </xf>
    <xf numFmtId="3" fontId="17" fillId="11" borderId="0" xfId="1" applyNumberFormat="1" applyFont="1" applyFill="1" applyAlignment="1">
      <alignment horizontal="center"/>
    </xf>
    <xf numFmtId="9" fontId="0" fillId="0" borderId="0" xfId="7" applyFont="1"/>
    <xf numFmtId="1" fontId="24" fillId="0" borderId="0" xfId="0" applyNumberFormat="1" applyFont="1" applyAlignment="1">
      <alignment horizontal="center"/>
    </xf>
    <xf numFmtId="1" fontId="10" fillId="13" borderId="0" xfId="0" applyNumberFormat="1" applyFont="1" applyFill="1" applyAlignment="1">
      <alignment horizontal="center"/>
    </xf>
    <xf numFmtId="169" fontId="26" fillId="0" borderId="15" xfId="3" applyNumberFormat="1" applyFont="1" applyBorder="1" applyAlignment="1">
      <alignment horizontal="center"/>
    </xf>
    <xf numFmtId="0" fontId="17" fillId="0" borderId="17" xfId="1" applyFont="1" applyBorder="1" applyAlignment="1">
      <alignment horizontal="center"/>
    </xf>
    <xf numFmtId="0" fontId="22" fillId="0" borderId="16" xfId="1" applyFont="1" applyBorder="1" applyAlignment="1">
      <alignment horizontal="center"/>
    </xf>
    <xf numFmtId="1" fontId="10" fillId="12" borderId="0" xfId="0" applyNumberFormat="1" applyFont="1" applyFill="1" applyAlignment="1">
      <alignment horizontal="center"/>
    </xf>
    <xf numFmtId="3" fontId="17" fillId="13" borderId="0" xfId="1" applyNumberFormat="1" applyFont="1" applyFill="1" applyAlignment="1">
      <alignment horizontal="center"/>
    </xf>
    <xf numFmtId="0" fontId="2" fillId="4" borderId="23" xfId="3" applyFill="1" applyBorder="1" applyAlignment="1">
      <alignment horizontal="center" vertical="top"/>
    </xf>
    <xf numFmtId="0" fontId="2" fillId="4" borderId="24" xfId="3" applyFill="1" applyBorder="1" applyAlignment="1">
      <alignment horizontal="center" vertical="top"/>
    </xf>
  </cellXfs>
  <cellStyles count="8">
    <cellStyle name="Check Cell 2" xfId="5" xr:uid="{00000000-0005-0000-0000-000000000000}"/>
    <cellStyle name="Comma 2" xfId="2" xr:uid="{00000000-0005-0000-0000-000001000000}"/>
    <cellStyle name="Input 2" xfId="4" xr:uid="{00000000-0005-0000-0000-000002000000}"/>
    <cellStyle name="Normal 2" xfId="1" xr:uid="{00000000-0005-0000-0000-000004000000}"/>
    <cellStyle name="Normal 3" xfId="3" xr:uid="{00000000-0005-0000-0000-000005000000}"/>
    <cellStyle name="Percent 2" xfId="6" xr:uid="{00000000-0005-0000-0000-000007000000}"/>
    <cellStyle name="百分比" xfId="7" builtinId="5"/>
    <cellStyle name="常规" xfId="0" builtinId="0"/>
  </cellStyles>
  <dxfs count="0"/>
  <tableStyles count="0" defaultTableStyle="TableStyleMedium2" defaultPivotStyle="PivotStyleLight16"/>
  <colors>
    <mruColors>
      <color rgb="FFCC00FF"/>
      <color rgb="FFDE53FF"/>
      <color rgb="FFDEBC9A"/>
      <color rgb="FFEDDBC9"/>
      <color rgb="FFC68C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93299867598473E-2"/>
          <c:y val="5.4794520547945202E-2"/>
          <c:w val="0.90518886530952436"/>
          <c:h val="0.83153777010750374"/>
        </c:manualLayout>
      </c:layout>
      <c:lineChart>
        <c:grouping val="standard"/>
        <c:varyColors val="0"/>
        <c:ser>
          <c:idx val="0"/>
          <c:order val="0"/>
          <c:tx>
            <c:strRef>
              <c:f>Model!$C$10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Model!$C$11:$C$55</c:f>
              <c:numCache>
                <c:formatCode>0</c:formatCode>
                <c:ptCount val="45"/>
                <c:pt idx="0">
                  <c:v>65000</c:v>
                </c:pt>
                <c:pt idx="1">
                  <c:v>53139</c:v>
                </c:pt>
                <c:pt idx="2">
                  <c:v>56222</c:v>
                </c:pt>
                <c:pt idx="3">
                  <c:v>48264</c:v>
                </c:pt>
                <c:pt idx="4">
                  <c:v>57200</c:v>
                </c:pt>
                <c:pt idx="5">
                  <c:v>49589</c:v>
                </c:pt>
                <c:pt idx="6">
                  <c:v>49589</c:v>
                </c:pt>
                <c:pt idx="7">
                  <c:v>60731.5</c:v>
                </c:pt>
                <c:pt idx="8">
                  <c:v>60731.5</c:v>
                </c:pt>
                <c:pt idx="9">
                  <c:v>55177.2</c:v>
                </c:pt>
                <c:pt idx="10">
                  <c:v>39168</c:v>
                </c:pt>
                <c:pt idx="11">
                  <c:v>58366</c:v>
                </c:pt>
                <c:pt idx="12">
                  <c:v>59850</c:v>
                </c:pt>
                <c:pt idx="13">
                  <c:v>59850</c:v>
                </c:pt>
                <c:pt idx="14">
                  <c:v>47668</c:v>
                </c:pt>
                <c:pt idx="15">
                  <c:v>33192</c:v>
                </c:pt>
                <c:pt idx="16">
                  <c:v>55930.46</c:v>
                </c:pt>
                <c:pt idx="17">
                  <c:v>51307.199999999997</c:v>
                </c:pt>
                <c:pt idx="18">
                  <c:v>56310</c:v>
                </c:pt>
                <c:pt idx="19">
                  <c:v>48218</c:v>
                </c:pt>
                <c:pt idx="20">
                  <c:v>59847</c:v>
                </c:pt>
                <c:pt idx="21">
                  <c:v>70000</c:v>
                </c:pt>
                <c:pt idx="22">
                  <c:v>65136</c:v>
                </c:pt>
                <c:pt idx="23">
                  <c:v>96390</c:v>
                </c:pt>
                <c:pt idx="24">
                  <c:v>88667</c:v>
                </c:pt>
                <c:pt idx="25">
                  <c:v>85000</c:v>
                </c:pt>
                <c:pt idx="26">
                  <c:v>70200</c:v>
                </c:pt>
                <c:pt idx="27">
                  <c:v>87356</c:v>
                </c:pt>
                <c:pt idx="28">
                  <c:v>80000</c:v>
                </c:pt>
                <c:pt idx="29">
                  <c:v>89510</c:v>
                </c:pt>
                <c:pt idx="30">
                  <c:v>81839</c:v>
                </c:pt>
                <c:pt idx="31">
                  <c:v>76488</c:v>
                </c:pt>
                <c:pt idx="32">
                  <c:v>92900</c:v>
                </c:pt>
                <c:pt idx="33">
                  <c:v>95000</c:v>
                </c:pt>
                <c:pt idx="34">
                  <c:v>90628</c:v>
                </c:pt>
                <c:pt idx="35">
                  <c:v>85438</c:v>
                </c:pt>
                <c:pt idx="36">
                  <c:v>80000</c:v>
                </c:pt>
                <c:pt idx="37">
                  <c:v>90000</c:v>
                </c:pt>
                <c:pt idx="38">
                  <c:v>112000</c:v>
                </c:pt>
                <c:pt idx="39">
                  <c:v>95000</c:v>
                </c:pt>
                <c:pt idx="40">
                  <c:v>85000</c:v>
                </c:pt>
                <c:pt idx="41">
                  <c:v>90000</c:v>
                </c:pt>
                <c:pt idx="42">
                  <c:v>90000</c:v>
                </c:pt>
                <c:pt idx="43">
                  <c:v>95000</c:v>
                </c:pt>
                <c:pt idx="44">
                  <c:v>131500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1-4B01-A427-E51CCB200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3313936"/>
        <c:axId val="-63309584"/>
      </c:lineChart>
      <c:catAx>
        <c:axId val="-6331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09584"/>
        <c:crosses val="autoZero"/>
        <c:auto val="1"/>
        <c:lblAlgn val="ctr"/>
        <c:lblOffset val="100"/>
        <c:noMultiLvlLbl val="0"/>
      </c:catAx>
      <c:valAx>
        <c:axId val="-633095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1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Posting</a:t>
            </a:r>
            <a:r>
              <a:rPr lang="en-US" sz="1800" baseline="0"/>
              <a:t> Salary$ Movement - IT10000001</a:t>
            </a:r>
          </a:p>
        </c:rich>
      </c:tx>
      <c:layout>
        <c:manualLayout>
          <c:xMode val="edge"/>
          <c:yMode val="edge"/>
          <c:x val="0.38833270370639217"/>
          <c:y val="1.8352647298398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87192653171852E-2"/>
          <c:y val="0.20851349443388542"/>
          <c:w val="0.94032620150570023"/>
          <c:h val="0.63066934564213961"/>
        </c:manualLayout>
      </c:layout>
      <c:lineChart>
        <c:grouping val="standard"/>
        <c:varyColors val="0"/>
        <c:ser>
          <c:idx val="0"/>
          <c:order val="0"/>
          <c:tx>
            <c:strRef>
              <c:f>Model!$C$10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Model!$B$12:$B$59</c:f>
              <c:strCache>
                <c:ptCount val="48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</c:strCache>
            </c:strRef>
          </c:cat>
          <c:val>
            <c:numRef>
              <c:f>Model!$C$12:$C$59</c:f>
              <c:numCache>
                <c:formatCode>0</c:formatCode>
                <c:ptCount val="48"/>
                <c:pt idx="0">
                  <c:v>53139</c:v>
                </c:pt>
                <c:pt idx="1">
                  <c:v>56222</c:v>
                </c:pt>
                <c:pt idx="2">
                  <c:v>48264</c:v>
                </c:pt>
                <c:pt idx="3">
                  <c:v>57200</c:v>
                </c:pt>
                <c:pt idx="4">
                  <c:v>49589</c:v>
                </c:pt>
                <c:pt idx="5">
                  <c:v>49589</c:v>
                </c:pt>
                <c:pt idx="6">
                  <c:v>60731.5</c:v>
                </c:pt>
                <c:pt idx="7">
                  <c:v>60731.5</c:v>
                </c:pt>
                <c:pt idx="8">
                  <c:v>55177.2</c:v>
                </c:pt>
                <c:pt idx="9">
                  <c:v>39168</c:v>
                </c:pt>
                <c:pt idx="10">
                  <c:v>58366</c:v>
                </c:pt>
                <c:pt idx="11">
                  <c:v>59850</c:v>
                </c:pt>
                <c:pt idx="12">
                  <c:v>59850</c:v>
                </c:pt>
                <c:pt idx="13">
                  <c:v>47668</c:v>
                </c:pt>
                <c:pt idx="14">
                  <c:v>33192</c:v>
                </c:pt>
                <c:pt idx="15">
                  <c:v>55930.46</c:v>
                </c:pt>
                <c:pt idx="16">
                  <c:v>51307.199999999997</c:v>
                </c:pt>
                <c:pt idx="17">
                  <c:v>56310</c:v>
                </c:pt>
                <c:pt idx="18">
                  <c:v>48218</c:v>
                </c:pt>
                <c:pt idx="19">
                  <c:v>59847</c:v>
                </c:pt>
                <c:pt idx="20">
                  <c:v>70000</c:v>
                </c:pt>
                <c:pt idx="21">
                  <c:v>65136</c:v>
                </c:pt>
                <c:pt idx="22">
                  <c:v>96390</c:v>
                </c:pt>
                <c:pt idx="23">
                  <c:v>88667</c:v>
                </c:pt>
                <c:pt idx="24">
                  <c:v>85000</c:v>
                </c:pt>
                <c:pt idx="25">
                  <c:v>70200</c:v>
                </c:pt>
                <c:pt idx="26">
                  <c:v>87356</c:v>
                </c:pt>
                <c:pt idx="27">
                  <c:v>80000</c:v>
                </c:pt>
                <c:pt idx="28">
                  <c:v>89510</c:v>
                </c:pt>
                <c:pt idx="29">
                  <c:v>81839</c:v>
                </c:pt>
                <c:pt idx="30">
                  <c:v>76488</c:v>
                </c:pt>
                <c:pt idx="31">
                  <c:v>92900</c:v>
                </c:pt>
                <c:pt idx="32">
                  <c:v>95000</c:v>
                </c:pt>
                <c:pt idx="33">
                  <c:v>90628</c:v>
                </c:pt>
                <c:pt idx="34">
                  <c:v>85438</c:v>
                </c:pt>
                <c:pt idx="35">
                  <c:v>80000</c:v>
                </c:pt>
                <c:pt idx="36">
                  <c:v>90000</c:v>
                </c:pt>
                <c:pt idx="37">
                  <c:v>112000</c:v>
                </c:pt>
                <c:pt idx="38">
                  <c:v>95000</c:v>
                </c:pt>
                <c:pt idx="39">
                  <c:v>85000</c:v>
                </c:pt>
                <c:pt idx="40">
                  <c:v>90000</c:v>
                </c:pt>
                <c:pt idx="41">
                  <c:v>90000</c:v>
                </c:pt>
                <c:pt idx="42">
                  <c:v>95000</c:v>
                </c:pt>
                <c:pt idx="43">
                  <c:v>131500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5-47A9-97D3-344DE77DACFF}"/>
            </c:ext>
          </c:extLst>
        </c:ser>
        <c:ser>
          <c:idx val="1"/>
          <c:order val="1"/>
          <c:tx>
            <c:strRef>
              <c:f>Model!$G$10</c:f>
              <c:strCache>
                <c:ptCount val="1"/>
                <c:pt idx="0">
                  <c:v>Forecast 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Model!$B$12:$B$59</c:f>
              <c:strCache>
                <c:ptCount val="48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</c:strCache>
            </c:strRef>
          </c:cat>
          <c:val>
            <c:numRef>
              <c:f>Model!$G$12:$G$59</c:f>
              <c:numCache>
                <c:formatCode>#,##0</c:formatCode>
                <c:ptCount val="48"/>
                <c:pt idx="0">
                  <c:v>73288.09550402053</c:v>
                </c:pt>
                <c:pt idx="1">
                  <c:v>54211.532358083066</c:v>
                </c:pt>
                <c:pt idx="2">
                  <c:v>59232.482587372928</c:v>
                </c:pt>
                <c:pt idx="3">
                  <c:v>56802.19742309166</c:v>
                </c:pt>
                <c:pt idx="4">
                  <c:v>56135.030129418628</c:v>
                </c:pt>
                <c:pt idx="5">
                  <c:v>49019.463670147561</c:v>
                </c:pt>
                <c:pt idx="6">
                  <c:v>52243.882107404941</c:v>
                </c:pt>
                <c:pt idx="7">
                  <c:v>67851.869404217374</c:v>
                </c:pt>
                <c:pt idx="8">
                  <c:v>60302.634094956025</c:v>
                </c:pt>
                <c:pt idx="9">
                  <c:v>54081.235810035374</c:v>
                </c:pt>
                <c:pt idx="10">
                  <c:v>43375.229158669157</c:v>
                </c:pt>
                <c:pt idx="11">
                  <c:v>63938.242298545047</c:v>
                </c:pt>
                <c:pt idx="12">
                  <c:v>58906.287870696564</c:v>
                </c:pt>
                <c:pt idx="13">
                  <c:v>57559.209479904443</c:v>
                </c:pt>
                <c:pt idx="14">
                  <c:v>51599.803596140227</c:v>
                </c:pt>
                <c:pt idx="15">
                  <c:v>40315.821720977088</c:v>
                </c:pt>
                <c:pt idx="16">
                  <c:v>52459.327991440638</c:v>
                </c:pt>
                <c:pt idx="17">
                  <c:v>49445.538082770647</c:v>
                </c:pt>
                <c:pt idx="18">
                  <c:v>58103.767416024304</c:v>
                </c:pt>
                <c:pt idx="19">
                  <c:v>56076.369215445302</c:v>
                </c:pt>
                <c:pt idx="20">
                  <c:v>57545.65627504421</c:v>
                </c:pt>
                <c:pt idx="21">
                  <c:v>65555.2220611417</c:v>
                </c:pt>
                <c:pt idx="22">
                  <c:v>68089.034080277488</c:v>
                </c:pt>
                <c:pt idx="23">
                  <c:v>104806.93450032307</c:v>
                </c:pt>
                <c:pt idx="24">
                  <c:v>87911.206038986711</c:v>
                </c:pt>
                <c:pt idx="25">
                  <c:v>81632.954682273223</c:v>
                </c:pt>
                <c:pt idx="26">
                  <c:v>74868.272093647014</c:v>
                </c:pt>
                <c:pt idx="27">
                  <c:v>96491.91579880286</c:v>
                </c:pt>
                <c:pt idx="28">
                  <c:v>79454.080606444506</c:v>
                </c:pt>
                <c:pt idx="29">
                  <c:v>84092.604057454446</c:v>
                </c:pt>
                <c:pt idx="30">
                  <c:v>85774.514072804435</c:v>
                </c:pt>
                <c:pt idx="31">
                  <c:v>87135.001942095987</c:v>
                </c:pt>
                <c:pt idx="32">
                  <c:v>89116.194577645147</c:v>
                </c:pt>
                <c:pt idx="33">
                  <c:v>89654.768944449039</c:v>
                </c:pt>
                <c:pt idx="34">
                  <c:v>94339.770607177095</c:v>
                </c:pt>
                <c:pt idx="35">
                  <c:v>97097.10664603734</c:v>
                </c:pt>
                <c:pt idx="36">
                  <c:v>79367.30150160777</c:v>
                </c:pt>
                <c:pt idx="37">
                  <c:v>84108.194389707292</c:v>
                </c:pt>
                <c:pt idx="38">
                  <c:v>112781.3159850369</c:v>
                </c:pt>
                <c:pt idx="39">
                  <c:v>108980.67964389577</c:v>
                </c:pt>
                <c:pt idx="40">
                  <c:v>85124.468424979845</c:v>
                </c:pt>
                <c:pt idx="41">
                  <c:v>84763.424706521007</c:v>
                </c:pt>
                <c:pt idx="42">
                  <c:v>92509.961804918115</c:v>
                </c:pt>
                <c:pt idx="43">
                  <c:v>105758.18685535407</c:v>
                </c:pt>
                <c:pt idx="44" formatCode="0">
                  <c:v>124089.68912390835</c:v>
                </c:pt>
                <c:pt idx="45" formatCode="0">
                  <c:v>117853.21292653083</c:v>
                </c:pt>
                <c:pt idx="46" formatCode="0">
                  <c:v>122141.68430246037</c:v>
                </c:pt>
                <c:pt idx="47" formatCode="0">
                  <c:v>136651.83020687226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5-47A9-97D3-344DE77DA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3311216"/>
        <c:axId val="-63313392"/>
      </c:lineChart>
      <c:catAx>
        <c:axId val="-633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13392"/>
        <c:crosses val="autoZero"/>
        <c:auto val="1"/>
        <c:lblAlgn val="ctr"/>
        <c:lblOffset val="100"/>
        <c:noMultiLvlLbl val="0"/>
      </c:catAx>
      <c:valAx>
        <c:axId val="-633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568011277828317"/>
          <c:y val="0.10109193592180288"/>
          <c:w val="0.3579647278218987"/>
          <c:h val="7.323739394428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Monthly% Movement - IT10000001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516828831648283E-2"/>
          <c:y val="0.30812827920099289"/>
          <c:w val="0.95514672293335134"/>
          <c:h val="0.66441129562870727"/>
        </c:manualLayout>
      </c:layout>
      <c:lineChart>
        <c:grouping val="standard"/>
        <c:varyColors val="0"/>
        <c:ser>
          <c:idx val="0"/>
          <c:order val="0"/>
          <c:tx>
            <c:strRef>
              <c:f>Monthly!$D$1</c:f>
              <c:strCache>
                <c:ptCount val="1"/>
                <c:pt idx="0">
                  <c:v> Actual% 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Model!$B$13:$B$59</c:f>
              <c:strCache>
                <c:ptCount val="47"/>
                <c:pt idx="0">
                  <c:v>2020-02</c:v>
                </c:pt>
                <c:pt idx="1">
                  <c:v>2020-03</c:v>
                </c:pt>
                <c:pt idx="2">
                  <c:v>2020-04</c:v>
                </c:pt>
                <c:pt idx="3">
                  <c:v>2020-05</c:v>
                </c:pt>
                <c:pt idx="4">
                  <c:v>2020-06</c:v>
                </c:pt>
                <c:pt idx="5">
                  <c:v>2020-07</c:v>
                </c:pt>
                <c:pt idx="6">
                  <c:v>2020-08</c:v>
                </c:pt>
                <c:pt idx="7">
                  <c:v>2020-09</c:v>
                </c:pt>
                <c:pt idx="8">
                  <c:v>2020-10</c:v>
                </c:pt>
                <c:pt idx="9">
                  <c:v>2020-11</c:v>
                </c:pt>
                <c:pt idx="10">
                  <c:v>2020-12</c:v>
                </c:pt>
                <c:pt idx="11">
                  <c:v>2021-01</c:v>
                </c:pt>
                <c:pt idx="12">
                  <c:v>2021-02</c:v>
                </c:pt>
                <c:pt idx="13">
                  <c:v>2021-03</c:v>
                </c:pt>
                <c:pt idx="14">
                  <c:v>2021-04</c:v>
                </c:pt>
                <c:pt idx="15">
                  <c:v>2021-05</c:v>
                </c:pt>
                <c:pt idx="16">
                  <c:v>2021-06</c:v>
                </c:pt>
                <c:pt idx="17">
                  <c:v>2021-07</c:v>
                </c:pt>
                <c:pt idx="18">
                  <c:v>2021-08</c:v>
                </c:pt>
                <c:pt idx="19">
                  <c:v>2021-09</c:v>
                </c:pt>
                <c:pt idx="20">
                  <c:v>2021-10</c:v>
                </c:pt>
                <c:pt idx="21">
                  <c:v>2021-11</c:v>
                </c:pt>
                <c:pt idx="22">
                  <c:v>2021-12</c:v>
                </c:pt>
                <c:pt idx="23">
                  <c:v>2022-01</c:v>
                </c:pt>
                <c:pt idx="24">
                  <c:v>2022-02</c:v>
                </c:pt>
                <c:pt idx="25">
                  <c:v>2022-03</c:v>
                </c:pt>
                <c:pt idx="26">
                  <c:v>2022-04</c:v>
                </c:pt>
                <c:pt idx="27">
                  <c:v>2022-05</c:v>
                </c:pt>
                <c:pt idx="28">
                  <c:v>2022-06</c:v>
                </c:pt>
                <c:pt idx="29">
                  <c:v>2022-07</c:v>
                </c:pt>
                <c:pt idx="30">
                  <c:v>2022-08</c:v>
                </c:pt>
                <c:pt idx="31">
                  <c:v>2022-09</c:v>
                </c:pt>
                <c:pt idx="32">
                  <c:v>2022-10</c:v>
                </c:pt>
                <c:pt idx="33">
                  <c:v>2022-11</c:v>
                </c:pt>
                <c:pt idx="34">
                  <c:v>2022-12</c:v>
                </c:pt>
                <c:pt idx="35">
                  <c:v>2023-01</c:v>
                </c:pt>
                <c:pt idx="36">
                  <c:v>2023-02</c:v>
                </c:pt>
                <c:pt idx="37">
                  <c:v>2023-03</c:v>
                </c:pt>
                <c:pt idx="38">
                  <c:v>2023-04</c:v>
                </c:pt>
                <c:pt idx="39">
                  <c:v>2023-05</c:v>
                </c:pt>
                <c:pt idx="40">
                  <c:v>2023-06</c:v>
                </c:pt>
                <c:pt idx="41">
                  <c:v>2023-07</c:v>
                </c:pt>
                <c:pt idx="42">
                  <c:v>2023-08</c:v>
                </c:pt>
                <c:pt idx="43">
                  <c:v>2023-09</c:v>
                </c:pt>
                <c:pt idx="44">
                  <c:v>2023-10</c:v>
                </c:pt>
                <c:pt idx="45">
                  <c:v>2023-11</c:v>
                </c:pt>
                <c:pt idx="46">
                  <c:v>2023-12</c:v>
                </c:pt>
              </c:strCache>
            </c:strRef>
          </c:cat>
          <c:val>
            <c:numRef>
              <c:f>Monthly!$D$2:$D$50</c:f>
              <c:numCache>
                <c:formatCode>0%</c:formatCode>
                <c:ptCount val="49"/>
                <c:pt idx="1">
                  <c:v>-0.18247692307692306</c:v>
                </c:pt>
                <c:pt idx="2">
                  <c:v>5.8017651818814804E-2</c:v>
                </c:pt>
                <c:pt idx="3">
                  <c:v>-0.14154601401586567</c:v>
                </c:pt>
                <c:pt idx="4">
                  <c:v>0.18514835073760982</c:v>
                </c:pt>
                <c:pt idx="5">
                  <c:v>-0.13305944055944055</c:v>
                </c:pt>
                <c:pt idx="6">
                  <c:v>0</c:v>
                </c:pt>
                <c:pt idx="7">
                  <c:v>0.22469700941741111</c:v>
                </c:pt>
                <c:pt idx="8">
                  <c:v>0</c:v>
                </c:pt>
                <c:pt idx="9">
                  <c:v>-9.1456657582967699E-2</c:v>
                </c:pt>
                <c:pt idx="10">
                  <c:v>-0.29014158021791608</c:v>
                </c:pt>
                <c:pt idx="11">
                  <c:v>0.49014501633986929</c:v>
                </c:pt>
                <c:pt idx="12">
                  <c:v>2.5425761573518828E-2</c:v>
                </c:pt>
                <c:pt idx="13">
                  <c:v>0</c:v>
                </c:pt>
                <c:pt idx="14">
                  <c:v>-0.20354218880534669</c:v>
                </c:pt>
                <c:pt idx="15">
                  <c:v>-0.30368381304019471</c:v>
                </c:pt>
                <c:pt idx="16">
                  <c:v>0.68505844781875147</c:v>
                </c:pt>
                <c:pt idx="17">
                  <c:v>-8.2660861362484808E-2</c:v>
                </c:pt>
                <c:pt idx="18">
                  <c:v>9.750678267377684E-2</c:v>
                </c:pt>
                <c:pt idx="19">
                  <c:v>-0.14370449298526017</c:v>
                </c:pt>
                <c:pt idx="20">
                  <c:v>0.24117549462856194</c:v>
                </c:pt>
                <c:pt idx="21">
                  <c:v>0.16964927231105986</c:v>
                </c:pt>
                <c:pt idx="22">
                  <c:v>-6.948571428571429E-2</c:v>
                </c:pt>
                <c:pt idx="23">
                  <c:v>0.47982682387619752</c:v>
                </c:pt>
                <c:pt idx="24">
                  <c:v>-8.0122419338105613E-2</c:v>
                </c:pt>
                <c:pt idx="25">
                  <c:v>-4.135698737974669E-2</c:v>
                </c:pt>
                <c:pt idx="26">
                  <c:v>-0.17411764705882352</c:v>
                </c:pt>
                <c:pt idx="27">
                  <c:v>0.24438746438746439</c:v>
                </c:pt>
                <c:pt idx="28">
                  <c:v>-8.4207152342140212E-2</c:v>
                </c:pt>
                <c:pt idx="29">
                  <c:v>0.11887499999999999</c:v>
                </c:pt>
                <c:pt idx="30">
                  <c:v>-8.5699921796447323E-2</c:v>
                </c:pt>
                <c:pt idx="31">
                  <c:v>-6.5384474394848416E-2</c:v>
                </c:pt>
                <c:pt idx="32">
                  <c:v>0.2145696056897814</c:v>
                </c:pt>
                <c:pt idx="33">
                  <c:v>2.2604951560818085E-2</c:v>
                </c:pt>
                <c:pt idx="34">
                  <c:v>-4.6021052631578949E-2</c:v>
                </c:pt>
                <c:pt idx="35">
                  <c:v>-5.7267069779759018E-2</c:v>
                </c:pt>
                <c:pt idx="36">
                  <c:v>-6.3648493644514151E-2</c:v>
                </c:pt>
                <c:pt idx="37">
                  <c:v>0.125</c:v>
                </c:pt>
                <c:pt idx="38">
                  <c:v>0.24444444444444444</c:v>
                </c:pt>
                <c:pt idx="39">
                  <c:v>-0.15178571428571427</c:v>
                </c:pt>
                <c:pt idx="40">
                  <c:v>-0.10526315789473684</c:v>
                </c:pt>
                <c:pt idx="41">
                  <c:v>5.8823529411764705E-2</c:v>
                </c:pt>
                <c:pt idx="42">
                  <c:v>0</c:v>
                </c:pt>
                <c:pt idx="43">
                  <c:v>5.5555555555555552E-2</c:v>
                </c:pt>
                <c:pt idx="44">
                  <c:v>0.38421052631578945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6-4BE4-88EA-409076700724}"/>
            </c:ext>
          </c:extLst>
        </c:ser>
        <c:ser>
          <c:idx val="1"/>
          <c:order val="1"/>
          <c:tx>
            <c:strRef>
              <c:f>Monthly!$E$1</c:f>
              <c:strCache>
                <c:ptCount val="1"/>
                <c:pt idx="0">
                  <c:v>Forecast%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Model!$B$13:$B$59</c:f>
              <c:strCache>
                <c:ptCount val="47"/>
                <c:pt idx="0">
                  <c:v>2020-02</c:v>
                </c:pt>
                <c:pt idx="1">
                  <c:v>2020-03</c:v>
                </c:pt>
                <c:pt idx="2">
                  <c:v>2020-04</c:v>
                </c:pt>
                <c:pt idx="3">
                  <c:v>2020-05</c:v>
                </c:pt>
                <c:pt idx="4">
                  <c:v>2020-06</c:v>
                </c:pt>
                <c:pt idx="5">
                  <c:v>2020-07</c:v>
                </c:pt>
                <c:pt idx="6">
                  <c:v>2020-08</c:v>
                </c:pt>
                <c:pt idx="7">
                  <c:v>2020-09</c:v>
                </c:pt>
                <c:pt idx="8">
                  <c:v>2020-10</c:v>
                </c:pt>
                <c:pt idx="9">
                  <c:v>2020-11</c:v>
                </c:pt>
                <c:pt idx="10">
                  <c:v>2020-12</c:v>
                </c:pt>
                <c:pt idx="11">
                  <c:v>2021-01</c:v>
                </c:pt>
                <c:pt idx="12">
                  <c:v>2021-02</c:v>
                </c:pt>
                <c:pt idx="13">
                  <c:v>2021-03</c:v>
                </c:pt>
                <c:pt idx="14">
                  <c:v>2021-04</c:v>
                </c:pt>
                <c:pt idx="15">
                  <c:v>2021-05</c:v>
                </c:pt>
                <c:pt idx="16">
                  <c:v>2021-06</c:v>
                </c:pt>
                <c:pt idx="17">
                  <c:v>2021-07</c:v>
                </c:pt>
                <c:pt idx="18">
                  <c:v>2021-08</c:v>
                </c:pt>
                <c:pt idx="19">
                  <c:v>2021-09</c:v>
                </c:pt>
                <c:pt idx="20">
                  <c:v>2021-10</c:v>
                </c:pt>
                <c:pt idx="21">
                  <c:v>2021-11</c:v>
                </c:pt>
                <c:pt idx="22">
                  <c:v>2021-12</c:v>
                </c:pt>
                <c:pt idx="23">
                  <c:v>2022-01</c:v>
                </c:pt>
                <c:pt idx="24">
                  <c:v>2022-02</c:v>
                </c:pt>
                <c:pt idx="25">
                  <c:v>2022-03</c:v>
                </c:pt>
                <c:pt idx="26">
                  <c:v>2022-04</c:v>
                </c:pt>
                <c:pt idx="27">
                  <c:v>2022-05</c:v>
                </c:pt>
                <c:pt idx="28">
                  <c:v>2022-06</c:v>
                </c:pt>
                <c:pt idx="29">
                  <c:v>2022-07</c:v>
                </c:pt>
                <c:pt idx="30">
                  <c:v>2022-08</c:v>
                </c:pt>
                <c:pt idx="31">
                  <c:v>2022-09</c:v>
                </c:pt>
                <c:pt idx="32">
                  <c:v>2022-10</c:v>
                </c:pt>
                <c:pt idx="33">
                  <c:v>2022-11</c:v>
                </c:pt>
                <c:pt idx="34">
                  <c:v>2022-12</c:v>
                </c:pt>
                <c:pt idx="35">
                  <c:v>2023-01</c:v>
                </c:pt>
                <c:pt idx="36">
                  <c:v>2023-02</c:v>
                </c:pt>
                <c:pt idx="37">
                  <c:v>2023-03</c:v>
                </c:pt>
                <c:pt idx="38">
                  <c:v>2023-04</c:v>
                </c:pt>
                <c:pt idx="39">
                  <c:v>2023-05</c:v>
                </c:pt>
                <c:pt idx="40">
                  <c:v>2023-06</c:v>
                </c:pt>
                <c:pt idx="41">
                  <c:v>2023-07</c:v>
                </c:pt>
                <c:pt idx="42">
                  <c:v>2023-08</c:v>
                </c:pt>
                <c:pt idx="43">
                  <c:v>2023-09</c:v>
                </c:pt>
                <c:pt idx="44">
                  <c:v>2023-10</c:v>
                </c:pt>
                <c:pt idx="45">
                  <c:v>2023-11</c:v>
                </c:pt>
                <c:pt idx="46">
                  <c:v>2023-12</c:v>
                </c:pt>
              </c:strCache>
            </c:strRef>
          </c:cat>
          <c:val>
            <c:numRef>
              <c:f>Monthly!$E$2:$E$50</c:f>
              <c:numCache>
                <c:formatCode>0%</c:formatCode>
                <c:ptCount val="49"/>
                <c:pt idx="1">
                  <c:v>-0.47510951251963618</c:v>
                </c:pt>
                <c:pt idx="2">
                  <c:v>-0.26029552295967273</c:v>
                </c:pt>
                <c:pt idx="3">
                  <c:v>9.2617751443088037E-2</c:v>
                </c:pt>
                <c:pt idx="4">
                  <c:v>-4.1029601632793143E-2</c:v>
                </c:pt>
                <c:pt idx="5">
                  <c:v>-1.1745448661142993E-2</c:v>
                </c:pt>
                <c:pt idx="6">
                  <c:v>-0.12675804115302361</c:v>
                </c:pt>
                <c:pt idx="7">
                  <c:v>6.5778329582602588E-2</c:v>
                </c:pt>
                <c:pt idx="8">
                  <c:v>0.29875244080684787</c:v>
                </c:pt>
                <c:pt idx="9">
                  <c:v>-0.11126053527409697</c:v>
                </c:pt>
                <c:pt idx="10">
                  <c:v>-0.10316959413620434</c:v>
                </c:pt>
                <c:pt idx="11">
                  <c:v>-0.19796157560030458</c:v>
                </c:pt>
                <c:pt idx="12">
                  <c:v>0.47407272627091307</c:v>
                </c:pt>
                <c:pt idx="13">
                  <c:v>-7.870023083138443E-2</c:v>
                </c:pt>
                <c:pt idx="14">
                  <c:v>-2.2868159571505387E-2</c:v>
                </c:pt>
                <c:pt idx="15">
                  <c:v>-0.10353522811748854</c:v>
                </c:pt>
                <c:pt idx="16">
                  <c:v>-0.21868265165271297</c:v>
                </c:pt>
                <c:pt idx="17">
                  <c:v>0.3012094446321319</c:v>
                </c:pt>
                <c:pt idx="18">
                  <c:v>-5.7450028890223805E-2</c:v>
                </c:pt>
                <c:pt idx="19">
                  <c:v>0.17510638308273618</c:v>
                </c:pt>
                <c:pt idx="20">
                  <c:v>-3.4892715063771763E-2</c:v>
                </c:pt>
                <c:pt idx="21">
                  <c:v>2.620153694248481E-2</c:v>
                </c:pt>
                <c:pt idx="22">
                  <c:v>0.13918627928779037</c:v>
                </c:pt>
                <c:pt idx="23">
                  <c:v>3.8651566411788921E-2</c:v>
                </c:pt>
                <c:pt idx="24">
                  <c:v>0.53926305338323499</c:v>
                </c:pt>
                <c:pt idx="25">
                  <c:v>-0.16120811606491819</c:v>
                </c:pt>
                <c:pt idx="26">
                  <c:v>-7.1415825576653102E-2</c:v>
                </c:pt>
                <c:pt idx="27">
                  <c:v>-8.2867055528680678E-2</c:v>
                </c:pt>
                <c:pt idx="28">
                  <c:v>0.28882252922985158</c:v>
                </c:pt>
                <c:pt idx="29">
                  <c:v>-0.17657266985852235</c:v>
                </c:pt>
                <c:pt idx="30">
                  <c:v>5.8379927319097441E-2</c:v>
                </c:pt>
                <c:pt idx="31">
                  <c:v>2.0000688933367563E-2</c:v>
                </c:pt>
                <c:pt idx="32">
                  <c:v>1.5861213368539576E-2</c:v>
                </c:pt>
                <c:pt idx="33">
                  <c:v>2.2737047012011614E-2</c:v>
                </c:pt>
                <c:pt idx="34">
                  <c:v>6.0435072363266501E-3</c:v>
                </c:pt>
                <c:pt idx="35">
                  <c:v>5.2256022940965124E-2</c:v>
                </c:pt>
                <c:pt idx="36">
                  <c:v>2.9227716170114101E-2</c:v>
                </c:pt>
                <c:pt idx="37">
                  <c:v>-0.18259869688046104</c:v>
                </c:pt>
                <c:pt idx="38">
                  <c:v>5.9733577914369243E-2</c:v>
                </c:pt>
                <c:pt idx="39">
                  <c:v>0.3409075869882004</c:v>
                </c:pt>
                <c:pt idx="40">
                  <c:v>-3.3699166461627149E-2</c:v>
                </c:pt>
                <c:pt idx="41">
                  <c:v>-0.21890312390111946</c:v>
                </c:pt>
                <c:pt idx="42">
                  <c:v>-4.2413623854464936E-3</c:v>
                </c:pt>
                <c:pt idx="43">
                  <c:v>9.1390091011756311E-2</c:v>
                </c:pt>
                <c:pt idx="44">
                  <c:v>0.14320863171874793</c:v>
                </c:pt>
                <c:pt idx="45">
                  <c:v>0.17333412016250196</c:v>
                </c:pt>
                <c:pt idx="46">
                  <c:v>-5.0257811437904032E-2</c:v>
                </c:pt>
                <c:pt idx="47">
                  <c:v>3.6388243217458607E-2</c:v>
                </c:pt>
                <c:pt idx="48">
                  <c:v>0.11879765689557954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6-4BE4-88EA-409076700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3312848"/>
        <c:axId val="-63312304"/>
      </c:lineChart>
      <c:catAx>
        <c:axId val="-6331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12304"/>
        <c:crosses val="autoZero"/>
        <c:auto val="1"/>
        <c:lblAlgn val="ctr"/>
        <c:lblOffset val="100"/>
        <c:noMultiLvlLbl val="0"/>
      </c:catAx>
      <c:valAx>
        <c:axId val="-6331230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3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62342732383383"/>
          <c:y val="0.14495327621706749"/>
          <c:w val="0.31483072357025871"/>
          <c:h val="8.6573732214059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8164</xdr:colOff>
      <xdr:row>76</xdr:row>
      <xdr:rowOff>0</xdr:rowOff>
    </xdr:from>
    <xdr:to>
      <xdr:col>20</xdr:col>
      <xdr:colOff>40821</xdr:colOff>
      <xdr:row>86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6EC02-DAC5-1205-BBBD-711497CD5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52916</xdr:colOff>
      <xdr:row>0</xdr:row>
      <xdr:rowOff>31751</xdr:rowOff>
    </xdr:from>
    <xdr:to>
      <xdr:col>19</xdr:col>
      <xdr:colOff>412749</xdr:colOff>
      <xdr:row>24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6AE02-AD7C-422C-9857-EFB3B95CE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137583</xdr:colOff>
      <xdr:row>24</xdr:row>
      <xdr:rowOff>148167</xdr:rowOff>
    </xdr:from>
    <xdr:to>
      <xdr:col>19</xdr:col>
      <xdr:colOff>412750</xdr:colOff>
      <xdr:row>40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B14E4A-C003-4A15-BB32-28DECD2EB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23" activeCellId="1" sqref="K18 I23"/>
    </sheetView>
  </sheetViews>
  <sheetFormatPr defaultRowHeight="14.4"/>
  <cols>
    <col min="1" max="1" width="22.33203125" customWidth="1"/>
  </cols>
  <sheetData>
    <row r="1" spans="1:9">
      <c r="A1" t="s">
        <v>176</v>
      </c>
    </row>
    <row r="2" spans="1:9" ht="15" thickBot="1"/>
    <row r="3" spans="1:9">
      <c r="A3" s="121" t="s">
        <v>177</v>
      </c>
      <c r="B3" s="121"/>
    </row>
    <row r="4" spans="1:9">
      <c r="A4" t="s">
        <v>178</v>
      </c>
      <c r="B4">
        <v>0.82672864333475038</v>
      </c>
    </row>
    <row r="5" spans="1:9">
      <c r="A5" t="s">
        <v>179</v>
      </c>
      <c r="B5">
        <v>0.68348024971011689</v>
      </c>
    </row>
    <row r="6" spans="1:9">
      <c r="A6" t="s">
        <v>180</v>
      </c>
      <c r="B6">
        <v>0.67611932528477081</v>
      </c>
    </row>
    <row r="7" spans="1:9">
      <c r="A7" t="s">
        <v>25</v>
      </c>
      <c r="B7">
        <v>11824.610931284538</v>
      </c>
    </row>
    <row r="8" spans="1:9" ht="15" thickBot="1">
      <c r="A8" s="119" t="s">
        <v>181</v>
      </c>
      <c r="B8" s="119">
        <v>45</v>
      </c>
    </row>
    <row r="10" spans="1:9" ht="15" thickBot="1">
      <c r="A10" t="s">
        <v>182</v>
      </c>
    </row>
    <row r="11" spans="1:9">
      <c r="A11" s="120"/>
      <c r="B11" s="120" t="s">
        <v>186</v>
      </c>
      <c r="C11" s="120" t="s">
        <v>187</v>
      </c>
      <c r="D11" s="120" t="s">
        <v>188</v>
      </c>
      <c r="E11" s="120" t="s">
        <v>189</v>
      </c>
      <c r="F11" s="120" t="s">
        <v>190</v>
      </c>
    </row>
    <row r="12" spans="1:9">
      <c r="A12" t="s">
        <v>183</v>
      </c>
      <c r="B12">
        <v>1</v>
      </c>
      <c r="C12">
        <v>12982769017.435802</v>
      </c>
      <c r="D12">
        <v>12982769017.435802</v>
      </c>
      <c r="E12">
        <v>92.85250197063111</v>
      </c>
      <c r="F12">
        <v>2.6276687783086505E-12</v>
      </c>
    </row>
    <row r="13" spans="1:9">
      <c r="A13" t="s">
        <v>184</v>
      </c>
      <c r="B13">
        <v>43</v>
      </c>
      <c r="C13">
        <v>6012321218.0789137</v>
      </c>
      <c r="D13">
        <v>139821423.6762538</v>
      </c>
    </row>
    <row r="14" spans="1:9" ht="15" thickBot="1">
      <c r="A14" s="119" t="s">
        <v>185</v>
      </c>
      <c r="B14" s="119">
        <v>44</v>
      </c>
      <c r="C14" s="119">
        <v>18995090235.514717</v>
      </c>
      <c r="D14" s="119"/>
      <c r="E14" s="119"/>
      <c r="F14" s="119"/>
    </row>
    <row r="15" spans="1:9" ht="15" thickBot="1"/>
    <row r="16" spans="1:9">
      <c r="A16" s="120"/>
      <c r="B16" s="120" t="s">
        <v>24</v>
      </c>
      <c r="C16" s="120" t="s">
        <v>25</v>
      </c>
      <c r="D16" s="120" t="s">
        <v>26</v>
      </c>
      <c r="E16" s="120" t="s">
        <v>27</v>
      </c>
      <c r="F16" s="120" t="s">
        <v>28</v>
      </c>
      <c r="G16" s="120" t="s">
        <v>29</v>
      </c>
      <c r="H16" s="120" t="s">
        <v>30</v>
      </c>
      <c r="I16" s="120" t="s">
        <v>31</v>
      </c>
    </row>
    <row r="17" spans="1:9">
      <c r="A17" t="s">
        <v>32</v>
      </c>
      <c r="B17">
        <v>42105.822727272738</v>
      </c>
      <c r="C17">
        <v>3585.0065937613304</v>
      </c>
      <c r="D17">
        <v>11.744977763930972</v>
      </c>
      <c r="E17">
        <v>5.2600151376247311E-15</v>
      </c>
      <c r="F17">
        <v>34875.967895453949</v>
      </c>
      <c r="G17">
        <v>49335.677559091528</v>
      </c>
      <c r="H17">
        <v>34875.967895453949</v>
      </c>
      <c r="I17">
        <v>49335.677559091528</v>
      </c>
    </row>
    <row r="18" spans="1:9" ht="15" thickBot="1">
      <c r="A18" s="119" t="s">
        <v>33</v>
      </c>
      <c r="B18" s="119">
        <v>1307.8645770750984</v>
      </c>
      <c r="C18" s="119">
        <v>135.72691314090241</v>
      </c>
      <c r="D18" s="119">
        <v>9.6360003098085834</v>
      </c>
      <c r="E18" s="119">
        <v>2.6276687783086315E-12</v>
      </c>
      <c r="F18" s="119">
        <v>1034.1451701185679</v>
      </c>
      <c r="G18" s="119">
        <v>1581.5839840316289</v>
      </c>
      <c r="H18" s="119">
        <v>1034.1451701185679</v>
      </c>
      <c r="I18" s="119">
        <v>1581.5839840316289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9"/>
  <sheetViews>
    <sheetView zoomScale="70" zoomScaleNormal="70" zoomScalePageLayoutView="75" workbookViewId="0">
      <selection activeCell="C36" sqref="C36"/>
    </sheetView>
  </sheetViews>
  <sheetFormatPr defaultColWidth="12.109375" defaultRowHeight="18"/>
  <cols>
    <col min="1" max="1" width="8.44140625" style="92" bestFit="1" customWidth="1"/>
    <col min="2" max="2" width="17.88671875" style="101" bestFit="1" customWidth="1"/>
    <col min="3" max="3" width="18.33203125" style="126" bestFit="1" customWidth="1"/>
    <col min="4" max="4" width="16.88671875" style="92" bestFit="1" customWidth="1"/>
    <col min="5" max="5" width="20.44140625" style="92" bestFit="1" customWidth="1"/>
    <col min="6" max="6" width="17.5546875" style="92" customWidth="1"/>
    <col min="7" max="7" width="15.44140625" style="102" customWidth="1"/>
    <col min="8" max="8" width="13.5546875" style="103" bestFit="1" customWidth="1"/>
    <col min="9" max="9" width="21.33203125" style="103" bestFit="1" customWidth="1"/>
    <col min="10" max="10" width="8.5546875" style="91" bestFit="1" customWidth="1"/>
    <col min="11" max="11" width="11.109375" style="93" customWidth="1"/>
    <col min="12" max="12" width="14.88671875" style="94" customWidth="1"/>
    <col min="13" max="13" width="17" style="92" bestFit="1" customWidth="1"/>
    <col min="14" max="14" width="18.88671875" style="92" bestFit="1" customWidth="1"/>
    <col min="15" max="15" width="19.88671875" style="92" customWidth="1"/>
    <col min="16" max="16" width="20.88671875" style="92" bestFit="1" customWidth="1"/>
    <col min="17" max="17" width="13" style="92" bestFit="1" customWidth="1"/>
    <col min="18" max="19" width="16" style="92" customWidth="1"/>
    <col min="20" max="20" width="16.88671875" style="92" bestFit="1" customWidth="1"/>
    <col min="21" max="16384" width="12.109375" style="92"/>
  </cols>
  <sheetData>
    <row r="1" spans="1:20" s="73" customFormat="1">
      <c r="A1" s="65" t="s">
        <v>0</v>
      </c>
      <c r="B1" s="66" t="s">
        <v>1</v>
      </c>
      <c r="C1" s="67" t="s">
        <v>2</v>
      </c>
      <c r="D1" s="66" t="s">
        <v>3</v>
      </c>
      <c r="E1" s="68" t="s">
        <v>4</v>
      </c>
      <c r="F1" s="68" t="s">
        <v>5</v>
      </c>
      <c r="G1" s="69" t="s">
        <v>6</v>
      </c>
      <c r="H1" s="70"/>
      <c r="I1" s="71"/>
      <c r="J1" s="72"/>
      <c r="K1" s="74"/>
      <c r="L1" s="75"/>
    </row>
    <row r="2" spans="1:20" s="73" customFormat="1" ht="18.600000000000001" thickBot="1">
      <c r="A2" s="76">
        <f>COUNT(C11:C56)</f>
        <v>45</v>
      </c>
      <c r="B2" s="77">
        <v>0.86747151910318721</v>
      </c>
      <c r="C2" s="77">
        <v>2.3390231087521179E-2</v>
      </c>
      <c r="D2" s="77">
        <v>4.42218550950529E-2</v>
      </c>
      <c r="E2" s="78">
        <f>SUM(I11:I56)</f>
        <v>12516195220.948463</v>
      </c>
      <c r="F2" s="79">
        <f>E2/(A2-1)</f>
        <v>284458982.29428327</v>
      </c>
      <c r="G2" s="80">
        <f>SQRT(F2)</f>
        <v>16865.911842953621</v>
      </c>
      <c r="H2" s="70"/>
      <c r="I2" s="71"/>
      <c r="J2" s="72"/>
      <c r="K2" s="74"/>
      <c r="L2" s="75"/>
    </row>
    <row r="3" spans="1:20" s="73" customFormat="1">
      <c r="A3" s="81"/>
      <c r="B3" s="81"/>
      <c r="C3" s="82"/>
      <c r="D3" s="83"/>
      <c r="E3" s="83"/>
      <c r="F3" s="84"/>
      <c r="G3" s="85"/>
      <c r="H3" s="86"/>
      <c r="I3" s="71"/>
      <c r="J3" s="72"/>
      <c r="K3" s="74"/>
      <c r="L3" s="75"/>
    </row>
    <row r="4" spans="1:20">
      <c r="A4" s="87"/>
      <c r="B4" s="87"/>
      <c r="C4" s="82"/>
      <c r="D4" s="87"/>
      <c r="E4" s="87"/>
      <c r="F4" s="87"/>
      <c r="G4" s="88" t="s">
        <v>7</v>
      </c>
      <c r="H4" s="89"/>
      <c r="I4" s="90" t="s">
        <v>8</v>
      </c>
    </row>
    <row r="5" spans="1:20" ht="18.600000000000001" thickBot="1">
      <c r="A5" s="87"/>
      <c r="B5" s="87"/>
      <c r="C5" s="82"/>
      <c r="D5" s="87"/>
      <c r="E5" s="95" t="s">
        <v>9</v>
      </c>
      <c r="F5" s="95" t="s">
        <v>195</v>
      </c>
      <c r="G5" s="88" t="s">
        <v>10</v>
      </c>
      <c r="H5" s="90" t="s">
        <v>11</v>
      </c>
      <c r="I5" s="90" t="s">
        <v>11</v>
      </c>
    </row>
    <row r="6" spans="1:20" ht="18.600000000000001" thickBot="1">
      <c r="A6" s="95" t="s">
        <v>12</v>
      </c>
      <c r="B6" s="95" t="s">
        <v>13</v>
      </c>
      <c r="C6" s="82" t="s">
        <v>14</v>
      </c>
      <c r="D6" s="95" t="s">
        <v>15</v>
      </c>
      <c r="E6" s="95" t="s">
        <v>16</v>
      </c>
      <c r="F6" s="95" t="s">
        <v>17</v>
      </c>
      <c r="G6" s="88" t="s">
        <v>18</v>
      </c>
      <c r="H6" s="90" t="s">
        <v>19</v>
      </c>
      <c r="I6" s="90" t="s">
        <v>19</v>
      </c>
      <c r="L6" s="96" t="s">
        <v>12</v>
      </c>
      <c r="M6" s="95" t="s">
        <v>14</v>
      </c>
      <c r="N6" s="95" t="s">
        <v>20</v>
      </c>
      <c r="O6" s="97" t="s">
        <v>21</v>
      </c>
      <c r="R6" s="98"/>
      <c r="S6" s="99" t="s">
        <v>22</v>
      </c>
      <c r="T6" s="100" t="s">
        <v>200</v>
      </c>
    </row>
    <row r="7" spans="1:20" ht="19.2" thickTop="1" thickBot="1">
      <c r="A7" s="95">
        <v>-3</v>
      </c>
      <c r="B7" s="95"/>
      <c r="C7" s="82"/>
      <c r="D7" s="87"/>
      <c r="E7" s="87"/>
      <c r="F7" s="84">
        <f>R7*$T$7</f>
        <v>3.2161630646325485</v>
      </c>
      <c r="L7" s="96">
        <v>1</v>
      </c>
      <c r="M7" s="104">
        <f t="shared" ref="M7:M51" si="0">C11</f>
        <v>65000</v>
      </c>
      <c r="N7" s="105">
        <f t="shared" ref="N7:N51" si="1">$D$10+$E$10*L7</f>
        <v>43413.687304347834</v>
      </c>
      <c r="O7" s="105">
        <f>M7/N7</f>
        <v>1.4972236646088875</v>
      </c>
      <c r="R7" s="106">
        <f>AVERAGE(O7,O11,O15,O19,O23,O27,O31,O35,O39,O43,O47,O51)</f>
        <v>1.0742755598057221</v>
      </c>
      <c r="S7" s="95" t="s">
        <v>196</v>
      </c>
      <c r="T7" s="107">
        <f>12/SUM(R7:R10)</f>
        <v>2.9937971084571422</v>
      </c>
    </row>
    <row r="8" spans="1:20">
      <c r="A8" s="95">
        <v>-2</v>
      </c>
      <c r="B8" s="95"/>
      <c r="C8" s="82"/>
      <c r="D8" s="87"/>
      <c r="E8" s="87"/>
      <c r="F8" s="84">
        <f>R8*$T$7</f>
        <v>3.038154037772411</v>
      </c>
      <c r="L8" s="96">
        <v>2</v>
      </c>
      <c r="M8" s="104">
        <f t="shared" si="0"/>
        <v>53139</v>
      </c>
      <c r="N8" s="105">
        <f t="shared" si="1"/>
        <v>44721.551881422936</v>
      </c>
      <c r="O8" s="105">
        <f t="shared" ref="O8:O51" si="2">M8/N8</f>
        <v>1.1882190524357368</v>
      </c>
      <c r="R8" s="106">
        <f>AVERAGE(O8,O12,O16,O20,O24,O28,O32,O36,O40,O44,O48,O52)</f>
        <v>1.0148162776929557</v>
      </c>
      <c r="S8" s="95" t="s">
        <v>197</v>
      </c>
      <c r="T8" s="108"/>
    </row>
    <row r="9" spans="1:20">
      <c r="A9" s="95">
        <v>-1</v>
      </c>
      <c r="B9" s="95"/>
      <c r="C9" s="82"/>
      <c r="D9" s="87"/>
      <c r="E9" s="87"/>
      <c r="F9" s="84">
        <f>R9*$T$7</f>
        <v>2.8424697480304886</v>
      </c>
      <c r="L9" s="96">
        <v>3</v>
      </c>
      <c r="M9" s="104">
        <f t="shared" si="0"/>
        <v>56222</v>
      </c>
      <c r="N9" s="105">
        <f t="shared" si="1"/>
        <v>46029.416458498032</v>
      </c>
      <c r="O9" s="105">
        <f t="shared" si="2"/>
        <v>1.2214362971707888</v>
      </c>
      <c r="R9" s="106">
        <f>AVERAGE(O9,O13,O17,O21,O25,O29,O33,O37,O41,O45,O49,O53)</f>
        <v>0.94945303407529835</v>
      </c>
      <c r="S9" s="95" t="s">
        <v>198</v>
      </c>
      <c r="T9" s="108"/>
    </row>
    <row r="10" spans="1:20" ht="18.600000000000001" thickBot="1">
      <c r="A10" s="95">
        <v>0</v>
      </c>
      <c r="B10" s="95"/>
      <c r="C10" s="82" t="s">
        <v>23</v>
      </c>
      <c r="D10" s="110">
        <f>$M$74</f>
        <v>42105.822727272738</v>
      </c>
      <c r="E10" s="83">
        <f>$M$75</f>
        <v>1307.8645770750984</v>
      </c>
      <c r="F10" s="84">
        <f>R10*$T$7</f>
        <v>2.9032131495645532</v>
      </c>
      <c r="G10" s="85" t="s">
        <v>7</v>
      </c>
      <c r="L10" s="96">
        <v>4</v>
      </c>
      <c r="M10" s="104">
        <f t="shared" si="0"/>
        <v>48264</v>
      </c>
      <c r="N10" s="105">
        <f t="shared" si="1"/>
        <v>47337.281035573134</v>
      </c>
      <c r="O10" s="105">
        <f t="shared" si="2"/>
        <v>1.0195769369121654</v>
      </c>
      <c r="R10" s="133">
        <f>AVERAGE(O10,O14,O18,O22,O26,O30,O34,O38,O42,O46,O50,O54)</f>
        <v>0.96974278629747512</v>
      </c>
      <c r="S10" s="135" t="s">
        <v>199</v>
      </c>
      <c r="T10" s="134"/>
    </row>
    <row r="11" spans="1:20">
      <c r="A11" s="95">
        <v>1</v>
      </c>
      <c r="B11" s="118" t="s">
        <v>194</v>
      </c>
      <c r="C11" s="124">
        <v>65000</v>
      </c>
      <c r="D11" s="111">
        <f>$B$2*(C11/F7)+(1-$B$2)*(D10+E10)</f>
        <v>23285.5120617711</v>
      </c>
      <c r="E11" s="112">
        <f>$C$2*(D11-D10)+(1-$C$2)*E10</f>
        <v>837.0619067811059</v>
      </c>
      <c r="F11" s="112">
        <f>$D$2*(C11/D11)+(1-$D$2)*F7</f>
        <v>3.1973808143096032</v>
      </c>
      <c r="G11" s="137">
        <f>(D10+E10)*F7</f>
        <v>139625.4976077505</v>
      </c>
      <c r="H11" s="90">
        <f>C11-G11</f>
        <v>-74625.497607750498</v>
      </c>
      <c r="I11" s="90">
        <f>H11^2</f>
        <v>5568964893.2043753</v>
      </c>
      <c r="J11" s="113"/>
      <c r="L11" s="96">
        <v>5</v>
      </c>
      <c r="M11" s="104">
        <f t="shared" si="0"/>
        <v>57200</v>
      </c>
      <c r="N11" s="105">
        <f t="shared" si="1"/>
        <v>48645.14561264823</v>
      </c>
      <c r="O11" s="105">
        <f t="shared" si="2"/>
        <v>1.1758624479300031</v>
      </c>
    </row>
    <row r="12" spans="1:20">
      <c r="A12" s="95">
        <v>2</v>
      </c>
      <c r="B12" s="118" t="s">
        <v>128</v>
      </c>
      <c r="C12" s="124">
        <v>53139</v>
      </c>
      <c r="D12" s="111">
        <f t="shared" ref="D12:D55" si="3">$B$2*(C12/F8)+(1-$B$2)*(D11+E11)</f>
        <v>18369.486314628179</v>
      </c>
      <c r="E12" s="112">
        <f t="shared" ref="E12:E55" si="4">$C$2*(D12-D11)+(1-$C$2)*E11</f>
        <v>702.49585708905784</v>
      </c>
      <c r="F12" s="112">
        <f t="shared" ref="F12:F55" si="5">$D$2*(C12/D12)+(1-$D$2)*F8</f>
        <v>3.0317256107116997</v>
      </c>
      <c r="G12" s="85">
        <f t="shared" ref="G12:G55" si="6">(D11+E11)*F8</f>
        <v>73288.09550402053</v>
      </c>
      <c r="H12" s="90">
        <f t="shared" ref="H12:H55" si="7">C12-G12</f>
        <v>-20149.09550402053</v>
      </c>
      <c r="I12" s="90">
        <f t="shared" ref="I12:I55" si="8">H12^2</f>
        <v>405986049.6301403</v>
      </c>
      <c r="J12" s="113"/>
      <c r="L12" s="96">
        <v>6</v>
      </c>
      <c r="M12" s="104">
        <f t="shared" si="0"/>
        <v>49589</v>
      </c>
      <c r="N12" s="105">
        <f t="shared" si="1"/>
        <v>49953.010189723325</v>
      </c>
      <c r="O12" s="105">
        <f t="shared" si="2"/>
        <v>0.99271294786158426</v>
      </c>
    </row>
    <row r="13" spans="1:20">
      <c r="A13" s="95">
        <v>3</v>
      </c>
      <c r="B13" s="118" t="s">
        <v>168</v>
      </c>
      <c r="C13" s="124">
        <v>56222</v>
      </c>
      <c r="D13" s="111">
        <f t="shared" si="3"/>
        <v>19685.541355821093</v>
      </c>
      <c r="E13" s="112">
        <f>$C$2*(D13-D12)+(1-$C$2)*E12</f>
        <v>716.84714819111798</v>
      </c>
      <c r="F13" s="112">
        <f t="shared" si="5"/>
        <v>2.8430682917831973</v>
      </c>
      <c r="G13" s="85">
        <f t="shared" si="6"/>
        <v>54211.532358083066</v>
      </c>
      <c r="H13" s="90">
        <f t="shared" si="7"/>
        <v>2010.4676419169336</v>
      </c>
      <c r="I13" s="90">
        <f t="shared" si="8"/>
        <v>4041980.1391950357</v>
      </c>
      <c r="J13" s="113"/>
      <c r="L13" s="96">
        <v>7</v>
      </c>
      <c r="M13" s="104">
        <f t="shared" si="0"/>
        <v>49589</v>
      </c>
      <c r="N13" s="105">
        <f t="shared" si="1"/>
        <v>51260.874766798428</v>
      </c>
      <c r="O13" s="105">
        <f t="shared" si="2"/>
        <v>0.96738497393178902</v>
      </c>
    </row>
    <row r="14" spans="1:20">
      <c r="A14" s="95">
        <v>4</v>
      </c>
      <c r="B14" s="118" t="s">
        <v>129</v>
      </c>
      <c r="C14" s="124">
        <v>48264</v>
      </c>
      <c r="D14" s="111">
        <f t="shared" si="3"/>
        <v>17125.03828473797</v>
      </c>
      <c r="E14" s="112">
        <f>$C$2*(D14-D13)+(1-$C$2)*E13</f>
        <v>640.18916920755521</v>
      </c>
      <c r="F14" s="112">
        <f t="shared" si="5"/>
        <v>2.8994594355990388</v>
      </c>
      <c r="G14" s="85">
        <f t="shared" si="6"/>
        <v>59232.482587372928</v>
      </c>
      <c r="H14" s="90">
        <f t="shared" si="7"/>
        <v>-10968.482587372928</v>
      </c>
      <c r="I14" s="90">
        <f t="shared" si="8"/>
        <v>120307610.26950312</v>
      </c>
      <c r="J14" s="113"/>
      <c r="L14" s="96">
        <v>8</v>
      </c>
      <c r="M14" s="104">
        <f t="shared" si="0"/>
        <v>60731.5</v>
      </c>
      <c r="N14" s="105">
        <f t="shared" si="1"/>
        <v>52568.739343873523</v>
      </c>
      <c r="O14" s="105">
        <f t="shared" si="2"/>
        <v>1.155277846834609</v>
      </c>
    </row>
    <row r="15" spans="1:20">
      <c r="A15" s="95">
        <v>5</v>
      </c>
      <c r="B15" s="118" t="s">
        <v>130</v>
      </c>
      <c r="C15" s="124">
        <v>57200</v>
      </c>
      <c r="D15" s="111">
        <f t="shared" si="3"/>
        <v>17873.154043155497</v>
      </c>
      <c r="E15" s="112">
        <f t="shared" si="4"/>
        <v>642.7135970696645</v>
      </c>
      <c r="F15" s="112">
        <f t="shared" si="5"/>
        <v>3.1975112548444078</v>
      </c>
      <c r="G15" s="85">
        <f t="shared" si="6"/>
        <v>56802.19742309166</v>
      </c>
      <c r="H15" s="90">
        <f t="shared" si="7"/>
        <v>397.80257690833969</v>
      </c>
      <c r="I15" s="90">
        <f t="shared" si="8"/>
        <v>158246.89019491553</v>
      </c>
      <c r="J15" s="113"/>
      <c r="L15" s="96">
        <v>9</v>
      </c>
      <c r="M15" s="104">
        <f t="shared" si="0"/>
        <v>60731.5</v>
      </c>
      <c r="N15" s="105">
        <f t="shared" si="1"/>
        <v>53876.603920948626</v>
      </c>
      <c r="O15" s="105">
        <f t="shared" si="2"/>
        <v>1.1272332623100991</v>
      </c>
    </row>
    <row r="16" spans="1:20">
      <c r="A16" s="95">
        <v>6</v>
      </c>
      <c r="B16" s="118" t="s">
        <v>131</v>
      </c>
      <c r="C16" s="124">
        <v>49589</v>
      </c>
      <c r="D16" s="111">
        <f t="shared" si="3"/>
        <v>16642.84368304423</v>
      </c>
      <c r="E16" s="112">
        <f t="shared" si="4"/>
        <v>598.90313387873914</v>
      </c>
      <c r="F16" s="112">
        <f t="shared" si="5"/>
        <v>3.0294204742362409</v>
      </c>
      <c r="G16" s="85">
        <f t="shared" si="6"/>
        <v>56135.030129418628</v>
      </c>
      <c r="H16" s="90">
        <f t="shared" si="7"/>
        <v>-6546.0301294186283</v>
      </c>
      <c r="I16" s="90">
        <f t="shared" si="8"/>
        <v>42850510.455256462</v>
      </c>
      <c r="J16" s="113"/>
      <c r="L16" s="96">
        <v>10</v>
      </c>
      <c r="M16" s="104">
        <f t="shared" si="0"/>
        <v>55177.2</v>
      </c>
      <c r="N16" s="105">
        <f t="shared" si="1"/>
        <v>55184.468498023722</v>
      </c>
      <c r="O16" s="105">
        <f t="shared" si="2"/>
        <v>0.9998682872514395</v>
      </c>
    </row>
    <row r="17" spans="1:15">
      <c r="A17" s="95">
        <v>7</v>
      </c>
      <c r="B17" s="118" t="s">
        <v>132</v>
      </c>
      <c r="C17" s="124">
        <v>49589</v>
      </c>
      <c r="D17" s="111">
        <f t="shared" si="3"/>
        <v>17415.522644492579</v>
      </c>
      <c r="E17" s="112">
        <f t="shared" si="4"/>
        <v>602.96779064301757</v>
      </c>
      <c r="F17" s="112">
        <f t="shared" si="5"/>
        <v>2.8432599516125232</v>
      </c>
      <c r="G17" s="85">
        <f t="shared" si="6"/>
        <v>49019.463670147561</v>
      </c>
      <c r="H17" s="90">
        <f t="shared" si="7"/>
        <v>569.53632985243894</v>
      </c>
      <c r="I17" s="90">
        <f t="shared" si="8"/>
        <v>324371.63102178613</v>
      </c>
      <c r="J17" s="113"/>
      <c r="L17" s="96">
        <v>11</v>
      </c>
      <c r="M17" s="104">
        <f t="shared" si="0"/>
        <v>39168</v>
      </c>
      <c r="N17" s="105">
        <f t="shared" si="1"/>
        <v>56492.333075098824</v>
      </c>
      <c r="O17" s="105">
        <f t="shared" si="2"/>
        <v>0.69333302180902145</v>
      </c>
    </row>
    <row r="18" spans="1:15">
      <c r="A18" s="95">
        <v>8</v>
      </c>
      <c r="B18" s="118" t="s">
        <v>133</v>
      </c>
      <c r="C18" s="124">
        <v>60731.5</v>
      </c>
      <c r="D18" s="111">
        <f t="shared" si="3"/>
        <v>20557.848874318472</v>
      </c>
      <c r="E18" s="112">
        <f t="shared" si="4"/>
        <v>662.36397134955212</v>
      </c>
      <c r="F18" s="112">
        <f t="shared" si="5"/>
        <v>2.9018790955014717</v>
      </c>
      <c r="G18" s="85">
        <f t="shared" si="6"/>
        <v>52243.882107404941</v>
      </c>
      <c r="H18" s="90">
        <f t="shared" si="7"/>
        <v>8487.6178925950589</v>
      </c>
      <c r="I18" s="90">
        <f t="shared" si="8"/>
        <v>72039657.490699783</v>
      </c>
      <c r="J18" s="113"/>
      <c r="L18" s="96">
        <v>12</v>
      </c>
      <c r="M18" s="104">
        <f t="shared" si="0"/>
        <v>58366</v>
      </c>
      <c r="N18" s="105">
        <f t="shared" si="1"/>
        <v>57800.19765217392</v>
      </c>
      <c r="O18" s="105">
        <f t="shared" si="2"/>
        <v>1.0097889344813478</v>
      </c>
    </row>
    <row r="19" spans="1:15">
      <c r="A19" s="95">
        <v>9</v>
      </c>
      <c r="B19" s="118" t="s">
        <v>134</v>
      </c>
      <c r="C19" s="124">
        <v>60731.5</v>
      </c>
      <c r="D19" s="111">
        <f t="shared" si="3"/>
        <v>19288.486208492239</v>
      </c>
      <c r="E19" s="112">
        <f t="shared" si="4"/>
        <v>617.18043890809031</v>
      </c>
      <c r="F19" s="112">
        <f t="shared" si="5"/>
        <v>3.19534778643738</v>
      </c>
      <c r="G19" s="85">
        <f t="shared" si="6"/>
        <v>67851.869404217374</v>
      </c>
      <c r="H19" s="90">
        <f t="shared" si="7"/>
        <v>-7120.3694042173738</v>
      </c>
      <c r="I19" s="90">
        <f t="shared" si="8"/>
        <v>50699660.452514879</v>
      </c>
      <c r="J19" s="113"/>
      <c r="K19" s="109"/>
      <c r="L19" s="96">
        <v>13</v>
      </c>
      <c r="M19" s="104">
        <f t="shared" si="0"/>
        <v>59850</v>
      </c>
      <c r="N19" s="105">
        <f t="shared" si="1"/>
        <v>59108.062229249015</v>
      </c>
      <c r="O19" s="105">
        <f t="shared" si="2"/>
        <v>1.0125522262576194</v>
      </c>
    </row>
    <row r="20" spans="1:15">
      <c r="A20" s="95">
        <v>10</v>
      </c>
      <c r="B20" s="118" t="s">
        <v>135</v>
      </c>
      <c r="C20" s="124">
        <v>55177.2</v>
      </c>
      <c r="D20" s="111">
        <f t="shared" si="3"/>
        <v>18438.003726974694</v>
      </c>
      <c r="E20" s="112">
        <f>$C$2*(D20-D19)+(1-$C$2)*E19</f>
        <v>582.85146404074851</v>
      </c>
      <c r="F20" s="112">
        <f t="shared" si="5"/>
        <v>3.0277913172609843</v>
      </c>
      <c r="G20" s="85">
        <f t="shared" si="6"/>
        <v>60302.634094956025</v>
      </c>
      <c r="H20" s="90">
        <f t="shared" si="7"/>
        <v>-5125.4340949560283</v>
      </c>
      <c r="I20" s="90">
        <f t="shared" si="8"/>
        <v>26270074.661737721</v>
      </c>
      <c r="J20" s="113"/>
      <c r="K20" s="109"/>
      <c r="L20" s="96">
        <v>14</v>
      </c>
      <c r="M20" s="104">
        <f t="shared" si="0"/>
        <v>59850</v>
      </c>
      <c r="N20" s="105">
        <f t="shared" si="1"/>
        <v>60415.926806324118</v>
      </c>
      <c r="O20" s="105">
        <f t="shared" si="2"/>
        <v>0.99063282090932225</v>
      </c>
    </row>
    <row r="21" spans="1:15">
      <c r="A21" s="95">
        <v>11</v>
      </c>
      <c r="B21" s="118" t="s">
        <v>136</v>
      </c>
      <c r="C21" s="124">
        <v>39168</v>
      </c>
      <c r="D21" s="111">
        <f t="shared" si="3"/>
        <v>14470.864144456904</v>
      </c>
      <c r="E21" s="112">
        <f t="shared" si="4"/>
        <v>476.42612201559194</v>
      </c>
      <c r="F21" s="112">
        <f t="shared" si="5"/>
        <v>2.8372201371762578</v>
      </c>
      <c r="G21" s="85">
        <f t="shared" si="6"/>
        <v>54081.235810035374</v>
      </c>
      <c r="H21" s="90">
        <f t="shared" si="7"/>
        <v>-14913.235810035374</v>
      </c>
      <c r="I21" s="90">
        <f t="shared" si="8"/>
        <v>222404602.32572144</v>
      </c>
      <c r="J21" s="113"/>
      <c r="K21" s="109"/>
      <c r="L21" s="96">
        <v>15</v>
      </c>
      <c r="M21" s="104">
        <f t="shared" si="0"/>
        <v>47668</v>
      </c>
      <c r="N21" s="105">
        <f t="shared" si="1"/>
        <v>61723.791383399213</v>
      </c>
      <c r="O21" s="105">
        <f t="shared" si="2"/>
        <v>0.77227919626499875</v>
      </c>
    </row>
    <row r="22" spans="1:15">
      <c r="A22" s="95">
        <v>12</v>
      </c>
      <c r="B22" s="118" t="s">
        <v>137</v>
      </c>
      <c r="C22" s="124">
        <v>58366</v>
      </c>
      <c r="D22" s="111">
        <f t="shared" si="3"/>
        <v>19428.54752299159</v>
      </c>
      <c r="E22" s="112">
        <f>$C$2*(D22-D21)+(1-$C$2)*E21</f>
        <v>581.24376480820479</v>
      </c>
      <c r="F22" s="112">
        <f t="shared" si="5"/>
        <v>2.9064010876962745</v>
      </c>
      <c r="G22" s="85">
        <f t="shared" si="6"/>
        <v>43375.229158669157</v>
      </c>
      <c r="H22" s="90">
        <f t="shared" si="7"/>
        <v>14990.770841330843</v>
      </c>
      <c r="I22" s="90">
        <f t="shared" si="8"/>
        <v>224723210.41729504</v>
      </c>
      <c r="J22" s="113"/>
      <c r="K22" s="109"/>
      <c r="L22" s="96">
        <v>16</v>
      </c>
      <c r="M22" s="104">
        <f t="shared" si="0"/>
        <v>33192</v>
      </c>
      <c r="N22" s="105">
        <f t="shared" si="1"/>
        <v>63031.655960474309</v>
      </c>
      <c r="O22" s="105">
        <f t="shared" si="2"/>
        <v>0.52659254297259672</v>
      </c>
    </row>
    <row r="23" spans="1:15">
      <c r="A23" s="95">
        <v>13</v>
      </c>
      <c r="B23" s="118" t="s">
        <v>138</v>
      </c>
      <c r="C23" s="124">
        <v>59850</v>
      </c>
      <c r="D23" s="111">
        <f t="shared" si="3"/>
        <v>18899.917185132919</v>
      </c>
      <c r="E23" s="112">
        <f t="shared" si="4"/>
        <v>555.28355306877143</v>
      </c>
      <c r="F23" s="112">
        <f t="shared" si="5"/>
        <v>3.1940800677182568</v>
      </c>
      <c r="G23" s="85">
        <f t="shared" si="6"/>
        <v>63938.242298545047</v>
      </c>
      <c r="H23" s="90">
        <f t="shared" si="7"/>
        <v>-4088.2422985450467</v>
      </c>
      <c r="I23" s="90">
        <f t="shared" si="8"/>
        <v>16713725.091612887</v>
      </c>
      <c r="J23" s="113"/>
      <c r="K23" s="109"/>
      <c r="L23" s="96">
        <v>17</v>
      </c>
      <c r="M23" s="104">
        <f t="shared" si="0"/>
        <v>55930.46</v>
      </c>
      <c r="N23" s="105">
        <f t="shared" si="1"/>
        <v>64339.520537549412</v>
      </c>
      <c r="O23" s="105">
        <f t="shared" si="2"/>
        <v>0.86930178423319504</v>
      </c>
    </row>
    <row r="24" spans="1:15">
      <c r="A24" s="95">
        <v>14</v>
      </c>
      <c r="B24" s="118" t="s">
        <v>139</v>
      </c>
      <c r="C24" s="124">
        <v>59850</v>
      </c>
      <c r="D24" s="111">
        <f t="shared" si="3"/>
        <v>19725.577163992992</v>
      </c>
      <c r="E24" s="112">
        <f t="shared" si="4"/>
        <v>561.6077201486479</v>
      </c>
      <c r="F24" s="112">
        <f t="shared" si="5"/>
        <v>3.0280717030477073</v>
      </c>
      <c r="G24" s="85">
        <f t="shared" si="6"/>
        <v>58906.287870696564</v>
      </c>
      <c r="H24" s="90">
        <f t="shared" si="7"/>
        <v>943.71212930343609</v>
      </c>
      <c r="I24" s="90">
        <f t="shared" si="8"/>
        <v>890592.58299442532</v>
      </c>
      <c r="J24" s="113"/>
      <c r="K24" s="109"/>
      <c r="L24" s="96">
        <v>18</v>
      </c>
      <c r="M24" s="104">
        <f t="shared" si="0"/>
        <v>51307.199999999997</v>
      </c>
      <c r="N24" s="105">
        <f t="shared" si="1"/>
        <v>65647.385114624514</v>
      </c>
      <c r="O24" s="105">
        <f t="shared" si="2"/>
        <v>0.78155740568210541</v>
      </c>
    </row>
    <row r="25" spans="1:15">
      <c r="A25" s="95">
        <v>15</v>
      </c>
      <c r="B25" s="118" t="s">
        <v>140</v>
      </c>
      <c r="C25" s="124">
        <v>47668</v>
      </c>
      <c r="D25" s="111">
        <f t="shared" si="3"/>
        <v>17262.977350552039</v>
      </c>
      <c r="E25" s="112">
        <f t="shared" si="4"/>
        <v>490.87080708136477</v>
      </c>
      <c r="F25" s="112">
        <f t="shared" si="5"/>
        <v>2.8338621434843874</v>
      </c>
      <c r="G25" s="85">
        <f t="shared" si="6"/>
        <v>57559.209479904443</v>
      </c>
      <c r="H25" s="90">
        <f t="shared" si="7"/>
        <v>-9891.2094799044426</v>
      </c>
      <c r="I25" s="90">
        <f t="shared" si="8"/>
        <v>97836024.975351512</v>
      </c>
      <c r="J25" s="113"/>
      <c r="K25" s="109"/>
      <c r="L25" s="96">
        <v>19</v>
      </c>
      <c r="M25" s="104">
        <f t="shared" si="0"/>
        <v>56310</v>
      </c>
      <c r="N25" s="105">
        <f t="shared" si="1"/>
        <v>66955.249691699602</v>
      </c>
      <c r="O25" s="105">
        <f t="shared" si="2"/>
        <v>0.8410094840850203</v>
      </c>
    </row>
    <row r="26" spans="1:15">
      <c r="A26" s="95">
        <v>16</v>
      </c>
      <c r="B26" s="118" t="s">
        <v>141</v>
      </c>
      <c r="C26" s="124">
        <v>33192</v>
      </c>
      <c r="D26" s="111">
        <f t="shared" si="3"/>
        <v>12259.683771136453</v>
      </c>
      <c r="E26" s="112">
        <f t="shared" si="4"/>
        <v>362.36103244837204</v>
      </c>
      <c r="F26" s="112">
        <f t="shared" si="5"/>
        <v>2.8976013671390826</v>
      </c>
      <c r="G26" s="85">
        <f t="shared" si="6"/>
        <v>51599.803596140227</v>
      </c>
      <c r="H26" s="90">
        <f t="shared" si="7"/>
        <v>-18407.803596140227</v>
      </c>
      <c r="I26" s="90">
        <f t="shared" si="8"/>
        <v>338847233.2340731</v>
      </c>
      <c r="J26" s="113"/>
      <c r="K26" s="109"/>
      <c r="L26" s="96">
        <v>20</v>
      </c>
      <c r="M26" s="104">
        <f t="shared" si="0"/>
        <v>48218</v>
      </c>
      <c r="N26" s="105">
        <f t="shared" si="1"/>
        <v>68263.114268774705</v>
      </c>
      <c r="O26" s="105">
        <f t="shared" si="2"/>
        <v>0.7063551160316186</v>
      </c>
    </row>
    <row r="27" spans="1:15">
      <c r="A27" s="95">
        <v>17</v>
      </c>
      <c r="B27" s="118" t="s">
        <v>142</v>
      </c>
      <c r="C27" s="124">
        <v>55930.46</v>
      </c>
      <c r="D27" s="111">
        <f t="shared" si="3"/>
        <v>16862.78194885841</v>
      </c>
      <c r="E27" s="112">
        <f t="shared" si="4"/>
        <v>461.55285425775605</v>
      </c>
      <c r="F27" s="112">
        <f t="shared" si="5"/>
        <v>3.1995069310035951</v>
      </c>
      <c r="G27" s="85">
        <f t="shared" si="6"/>
        <v>40315.821720977088</v>
      </c>
      <c r="H27" s="90">
        <f t="shared" si="7"/>
        <v>15614.638279022911</v>
      </c>
      <c r="I27" s="90">
        <f t="shared" si="8"/>
        <v>243816928.58472759</v>
      </c>
      <c r="J27" s="113"/>
      <c r="K27" s="109"/>
      <c r="L27" s="96">
        <v>21</v>
      </c>
      <c r="M27" s="104">
        <f t="shared" si="0"/>
        <v>59847</v>
      </c>
      <c r="N27" s="105">
        <f t="shared" si="1"/>
        <v>69570.978845849808</v>
      </c>
      <c r="O27" s="105">
        <f t="shared" si="2"/>
        <v>0.86022938002071991</v>
      </c>
    </row>
    <row r="28" spans="1:15">
      <c r="A28" s="95">
        <v>18</v>
      </c>
      <c r="B28" s="118" t="s">
        <v>143</v>
      </c>
      <c r="C28" s="124">
        <v>51307.199999999997</v>
      </c>
      <c r="D28" s="111">
        <f t="shared" si="3"/>
        <v>16994.277156881966</v>
      </c>
      <c r="E28" s="112">
        <f t="shared" si="4"/>
        <v>453.83272964013486</v>
      </c>
      <c r="F28" s="112">
        <f t="shared" si="5"/>
        <v>3.0276743795880594</v>
      </c>
      <c r="G28" s="85">
        <f t="shared" si="6"/>
        <v>52459.327991440638</v>
      </c>
      <c r="H28" s="90">
        <f t="shared" si="7"/>
        <v>-1152.1279914406405</v>
      </c>
      <c r="I28" s="90">
        <f t="shared" si="8"/>
        <v>1327398.9086610444</v>
      </c>
      <c r="J28" s="113"/>
      <c r="K28" s="109"/>
      <c r="L28" s="96">
        <v>22</v>
      </c>
      <c r="M28" s="104">
        <f t="shared" si="0"/>
        <v>70000</v>
      </c>
      <c r="N28" s="105">
        <f t="shared" si="1"/>
        <v>70878.843422924896</v>
      </c>
      <c r="O28" s="105">
        <f t="shared" si="2"/>
        <v>0.98760076518629192</v>
      </c>
    </row>
    <row r="29" spans="1:15">
      <c r="A29" s="95">
        <v>19</v>
      </c>
      <c r="B29" s="118" t="s">
        <v>144</v>
      </c>
      <c r="C29" s="124">
        <v>56310</v>
      </c>
      <c r="D29" s="111">
        <f t="shared" si="3"/>
        <v>19549.385426991143</v>
      </c>
      <c r="E29" s="112">
        <f t="shared" si="4"/>
        <v>502.9820501102617</v>
      </c>
      <c r="F29" s="112">
        <f t="shared" si="5"/>
        <v>2.8359200212175448</v>
      </c>
      <c r="G29" s="85">
        <f t="shared" si="6"/>
        <v>49445.538082770647</v>
      </c>
      <c r="H29" s="90">
        <f t="shared" si="7"/>
        <v>6864.4619172293533</v>
      </c>
      <c r="I29" s="90">
        <f t="shared" si="8"/>
        <v>47120837.413092092</v>
      </c>
      <c r="J29" s="113"/>
      <c r="K29" s="109"/>
      <c r="L29" s="96">
        <v>23</v>
      </c>
      <c r="M29" s="104">
        <f t="shared" si="0"/>
        <v>65136</v>
      </c>
      <c r="N29" s="105">
        <f t="shared" si="1"/>
        <v>72186.707999999999</v>
      </c>
      <c r="O29" s="105">
        <f t="shared" si="2"/>
        <v>0.9023267829307301</v>
      </c>
    </row>
    <row r="30" spans="1:15">
      <c r="A30" s="95">
        <v>20</v>
      </c>
      <c r="B30" s="118" t="s">
        <v>169</v>
      </c>
      <c r="C30" s="124">
        <v>48218</v>
      </c>
      <c r="D30" s="111">
        <f t="shared" si="3"/>
        <v>17092.80865885497</v>
      </c>
      <c r="E30" s="112">
        <f t="shared" si="4"/>
        <v>433.75728543436657</v>
      </c>
      <c r="F30" s="112">
        <f t="shared" si="5"/>
        <v>2.8942118086328139</v>
      </c>
      <c r="G30" s="85">
        <f t="shared" si="6"/>
        <v>58103.767416024304</v>
      </c>
      <c r="H30" s="90">
        <f t="shared" si="7"/>
        <v>-9885.7674160243041</v>
      </c>
      <c r="I30" s="90">
        <f t="shared" si="8"/>
        <v>97728397.403727844</v>
      </c>
      <c r="J30" s="113"/>
      <c r="K30" s="109"/>
      <c r="L30" s="96">
        <v>24</v>
      </c>
      <c r="M30" s="104">
        <f t="shared" si="0"/>
        <v>96390</v>
      </c>
      <c r="N30" s="105">
        <f t="shared" si="1"/>
        <v>73494.572577075101</v>
      </c>
      <c r="O30" s="105">
        <f t="shared" si="2"/>
        <v>1.311525417729507</v>
      </c>
    </row>
    <row r="31" spans="1:15">
      <c r="A31" s="95">
        <v>21</v>
      </c>
      <c r="B31" s="118" t="s">
        <v>170</v>
      </c>
      <c r="C31" s="124">
        <v>59847</v>
      </c>
      <c r="D31" s="111">
        <f t="shared" si="3"/>
        <v>18548.884346840478</v>
      </c>
      <c r="E31" s="112">
        <f t="shared" si="4"/>
        <v>457.66954911506326</v>
      </c>
      <c r="F31" s="112">
        <f t="shared" si="5"/>
        <v>3.2006982892975158</v>
      </c>
      <c r="G31" s="85">
        <f t="shared" si="6"/>
        <v>56076.369215445302</v>
      </c>
      <c r="H31" s="90">
        <f t="shared" si="7"/>
        <v>3770.630784554698</v>
      </c>
      <c r="I31" s="90">
        <f t="shared" si="8"/>
        <v>14217656.513431577</v>
      </c>
      <c r="J31" s="113"/>
      <c r="K31" s="109"/>
      <c r="L31" s="96">
        <v>25</v>
      </c>
      <c r="M31" s="104">
        <f t="shared" si="0"/>
        <v>88667</v>
      </c>
      <c r="N31" s="105">
        <f t="shared" si="1"/>
        <v>74802.43715415019</v>
      </c>
      <c r="O31" s="105">
        <f t="shared" si="2"/>
        <v>1.1853490791654049</v>
      </c>
    </row>
    <row r="32" spans="1:15">
      <c r="A32" s="95">
        <v>22</v>
      </c>
      <c r="B32" s="118" t="s">
        <v>145</v>
      </c>
      <c r="C32" s="124">
        <v>70000</v>
      </c>
      <c r="D32" s="111">
        <f t="shared" si="3"/>
        <v>22574.89946949459</v>
      </c>
      <c r="E32" s="112">
        <f t="shared" si="4"/>
        <v>541.13397668027494</v>
      </c>
      <c r="F32" s="112">
        <f t="shared" si="5"/>
        <v>3.0309076438330074</v>
      </c>
      <c r="G32" s="85">
        <f t="shared" si="6"/>
        <v>57545.65627504421</v>
      </c>
      <c r="H32" s="90">
        <f t="shared" si="7"/>
        <v>12454.34372495579</v>
      </c>
      <c r="I32" s="90">
        <f t="shared" si="8"/>
        <v>155110677.61934566</v>
      </c>
      <c r="J32" s="113"/>
      <c r="K32" s="109"/>
      <c r="L32" s="96">
        <v>26</v>
      </c>
      <c r="M32" s="104">
        <f t="shared" si="0"/>
        <v>85000</v>
      </c>
      <c r="N32" s="105">
        <f t="shared" si="1"/>
        <v>76110.301731225307</v>
      </c>
      <c r="O32" s="105">
        <f t="shared" si="2"/>
        <v>1.1168001974314545</v>
      </c>
    </row>
    <row r="33" spans="1:21">
      <c r="A33" s="95">
        <v>23</v>
      </c>
      <c r="B33" s="118" t="s">
        <v>146</v>
      </c>
      <c r="C33" s="124">
        <v>65136</v>
      </c>
      <c r="D33" s="111">
        <f t="shared" si="3"/>
        <v>22987.798800804285</v>
      </c>
      <c r="E33" s="112">
        <f t="shared" si="4"/>
        <v>538.13453869163072</v>
      </c>
      <c r="F33" s="112">
        <f t="shared" si="5"/>
        <v>2.8358131420854167</v>
      </c>
      <c r="G33" s="85">
        <f t="shared" si="6"/>
        <v>65555.2220611417</v>
      </c>
      <c r="H33" s="90">
        <f t="shared" si="7"/>
        <v>-419.22206114169967</v>
      </c>
      <c r="I33" s="90">
        <f t="shared" si="8"/>
        <v>175747.13654789497</v>
      </c>
      <c r="J33" s="113"/>
      <c r="K33" s="109"/>
      <c r="L33" s="96">
        <v>27</v>
      </c>
      <c r="M33" s="104">
        <f t="shared" si="0"/>
        <v>70200</v>
      </c>
      <c r="N33" s="105">
        <f t="shared" si="1"/>
        <v>77418.166308300395</v>
      </c>
      <c r="O33" s="105">
        <f t="shared" si="2"/>
        <v>0.90676392050470844</v>
      </c>
    </row>
    <row r="34" spans="1:21">
      <c r="A34" s="95">
        <v>24</v>
      </c>
      <c r="B34" s="118" t="s">
        <v>147</v>
      </c>
      <c r="C34" s="124">
        <v>96390</v>
      </c>
      <c r="D34" s="111">
        <f t="shared" si="3"/>
        <v>32008.478336804332</v>
      </c>
      <c r="E34" s="112">
        <f t="shared" si="4"/>
        <v>736.54322638897133</v>
      </c>
      <c r="F34" s="112">
        <f t="shared" si="5"/>
        <v>2.8993936296350475</v>
      </c>
      <c r="G34" s="85">
        <f t="shared" si="6"/>
        <v>68089.034080277488</v>
      </c>
      <c r="H34" s="90">
        <f t="shared" si="7"/>
        <v>28300.965919722512</v>
      </c>
      <c r="I34" s="90">
        <f t="shared" si="8"/>
        <v>800944671.98929513</v>
      </c>
      <c r="J34" s="113"/>
      <c r="K34" s="109"/>
      <c r="L34" s="96">
        <v>28</v>
      </c>
      <c r="M34" s="104">
        <f t="shared" si="0"/>
        <v>87356</v>
      </c>
      <c r="N34" s="105">
        <f t="shared" si="1"/>
        <v>78726.030885375483</v>
      </c>
      <c r="O34" s="105">
        <f t="shared" si="2"/>
        <v>1.1096202744831591</v>
      </c>
    </row>
    <row r="35" spans="1:21">
      <c r="A35" s="95">
        <v>25</v>
      </c>
      <c r="B35" s="118" t="s">
        <v>148</v>
      </c>
      <c r="C35" s="124">
        <v>88667</v>
      </c>
      <c r="D35" s="111">
        <f t="shared" si="3"/>
        <v>28370.68439244607</v>
      </c>
      <c r="E35" s="112">
        <f t="shared" si="4"/>
        <v>634.2264691104599</v>
      </c>
      <c r="F35" s="112">
        <f t="shared" si="5"/>
        <v>3.1973641930518824</v>
      </c>
      <c r="G35" s="85">
        <f t="shared" si="6"/>
        <v>104806.93450032307</v>
      </c>
      <c r="H35" s="90">
        <f t="shared" si="7"/>
        <v>-16139.93450032307</v>
      </c>
      <c r="I35" s="90">
        <f t="shared" si="8"/>
        <v>260497485.67471892</v>
      </c>
      <c r="J35" s="113"/>
      <c r="K35" s="109"/>
      <c r="L35" s="96">
        <v>29</v>
      </c>
      <c r="M35" s="104">
        <f t="shared" si="0"/>
        <v>80000</v>
      </c>
      <c r="N35" s="105">
        <f t="shared" si="1"/>
        <v>80033.8954624506</v>
      </c>
      <c r="O35" s="105">
        <f t="shared" si="2"/>
        <v>0.99957648615933603</v>
      </c>
    </row>
    <row r="36" spans="1:21">
      <c r="A36" s="95">
        <v>26</v>
      </c>
      <c r="B36" s="118" t="s">
        <v>149</v>
      </c>
      <c r="C36" s="124">
        <v>85000</v>
      </c>
      <c r="D36" s="111">
        <f t="shared" si="3"/>
        <v>28171.698958778637</v>
      </c>
      <c r="E36" s="112">
        <f t="shared" si="4"/>
        <v>614.73745015961174</v>
      </c>
      <c r="F36" s="112">
        <f t="shared" si="5"/>
        <v>3.0303020156434104</v>
      </c>
      <c r="G36" s="85">
        <f t="shared" si="6"/>
        <v>87911.206038986711</v>
      </c>
      <c r="H36" s="90">
        <f t="shared" si="7"/>
        <v>-2911.2060389867111</v>
      </c>
      <c r="I36" s="90">
        <f t="shared" si="8"/>
        <v>8475120.601432696</v>
      </c>
      <c r="J36" s="113"/>
      <c r="K36" s="109"/>
      <c r="L36" s="96">
        <v>30</v>
      </c>
      <c r="M36" s="104">
        <f t="shared" si="0"/>
        <v>89510</v>
      </c>
      <c r="N36" s="105">
        <f t="shared" si="1"/>
        <v>81341.760039525689</v>
      </c>
      <c r="O36" s="105">
        <f t="shared" si="2"/>
        <v>1.1004187757494452</v>
      </c>
    </row>
    <row r="37" spans="1:21">
      <c r="A37" s="95">
        <v>27</v>
      </c>
      <c r="B37" s="118" t="s">
        <v>150</v>
      </c>
      <c r="C37" s="124">
        <v>70200</v>
      </c>
      <c r="D37" s="111">
        <f t="shared" si="3"/>
        <v>25289.110573578004</v>
      </c>
      <c r="E37" s="112">
        <f t="shared" si="4"/>
        <v>532.93419068217759</v>
      </c>
      <c r="F37" s="112">
        <f t="shared" si="5"/>
        <v>2.8331635982824035</v>
      </c>
      <c r="G37" s="85">
        <f t="shared" si="6"/>
        <v>81632.954682273223</v>
      </c>
      <c r="H37" s="90">
        <f t="shared" si="7"/>
        <v>-11432.954682273223</v>
      </c>
      <c r="I37" s="90">
        <f t="shared" si="8"/>
        <v>130712452.76691321</v>
      </c>
      <c r="J37" s="113"/>
      <c r="K37" s="109"/>
      <c r="L37" s="96">
        <v>31</v>
      </c>
      <c r="M37" s="104">
        <f t="shared" si="0"/>
        <v>81839</v>
      </c>
      <c r="N37" s="105">
        <f t="shared" si="1"/>
        <v>82649.624616600791</v>
      </c>
      <c r="O37" s="105">
        <f t="shared" si="2"/>
        <v>0.99019203510770726</v>
      </c>
      <c r="P37" s="114"/>
      <c r="Q37" s="114"/>
      <c r="R37" s="114"/>
      <c r="S37" s="114"/>
      <c r="T37" s="114"/>
      <c r="U37" s="114"/>
    </row>
    <row r="38" spans="1:21">
      <c r="A38" s="95">
        <v>28</v>
      </c>
      <c r="B38" s="118" t="s">
        <v>151</v>
      </c>
      <c r="C38" s="124">
        <v>87356</v>
      </c>
      <c r="D38" s="111">
        <f t="shared" si="3"/>
        <v>29558.256428088265</v>
      </c>
      <c r="E38" s="112">
        <f t="shared" si="4"/>
        <v>620.32504489100847</v>
      </c>
      <c r="F38" s="112">
        <f t="shared" si="5"/>
        <v>2.9018696304994749</v>
      </c>
      <c r="G38" s="85">
        <f t="shared" si="6"/>
        <v>74868.272093647014</v>
      </c>
      <c r="H38" s="90">
        <f t="shared" si="7"/>
        <v>12487.727906352986</v>
      </c>
      <c r="I38" s="90">
        <f t="shared" si="8"/>
        <v>155943348.26310712</v>
      </c>
      <c r="J38" s="113"/>
      <c r="K38" s="109"/>
      <c r="L38" s="96">
        <v>32</v>
      </c>
      <c r="M38" s="104">
        <f t="shared" si="0"/>
        <v>76488</v>
      </c>
      <c r="N38" s="105">
        <f t="shared" si="1"/>
        <v>83957.489193675894</v>
      </c>
      <c r="O38" s="105">
        <f t="shared" si="2"/>
        <v>0.91103248482758903</v>
      </c>
    </row>
    <row r="39" spans="1:21">
      <c r="A39" s="95">
        <v>29</v>
      </c>
      <c r="B39" s="118" t="s">
        <v>152</v>
      </c>
      <c r="C39" s="124">
        <v>80000</v>
      </c>
      <c r="D39" s="111">
        <f t="shared" si="3"/>
        <v>25704.187444923922</v>
      </c>
      <c r="E39" s="112">
        <f t="shared" si="4"/>
        <v>515.66793459816915</v>
      </c>
      <c r="F39" s="112">
        <f t="shared" si="5"/>
        <v>3.193603971742387</v>
      </c>
      <c r="G39" s="85">
        <f t="shared" si="6"/>
        <v>96491.91579880286</v>
      </c>
      <c r="H39" s="90">
        <f t="shared" si="7"/>
        <v>-16491.91579880286</v>
      </c>
      <c r="I39" s="90">
        <f t="shared" si="8"/>
        <v>271983286.7148034</v>
      </c>
      <c r="J39" s="113"/>
      <c r="K39" s="109"/>
      <c r="L39" s="96">
        <v>33</v>
      </c>
      <c r="M39" s="104">
        <f t="shared" si="0"/>
        <v>92900</v>
      </c>
      <c r="N39" s="105">
        <f t="shared" si="1"/>
        <v>85265.353770750982</v>
      </c>
      <c r="O39" s="105">
        <f t="shared" si="2"/>
        <v>1.0895398411150201</v>
      </c>
    </row>
    <row r="40" spans="1:21">
      <c r="A40" s="95">
        <v>30</v>
      </c>
      <c r="B40" s="118" t="s">
        <v>153</v>
      </c>
      <c r="C40" s="124">
        <v>89510</v>
      </c>
      <c r="D40" s="111">
        <f t="shared" si="3"/>
        <v>29098.52015526875</v>
      </c>
      <c r="E40" s="112">
        <f t="shared" si="4"/>
        <v>583.00056892639088</v>
      </c>
      <c r="F40" s="112">
        <f t="shared" si="5"/>
        <v>3.0323273515284104</v>
      </c>
      <c r="G40" s="85">
        <f t="shared" si="6"/>
        <v>79454.080606444506</v>
      </c>
      <c r="H40" s="90">
        <f t="shared" si="7"/>
        <v>10055.919393555494</v>
      </c>
      <c r="I40" s="90">
        <f t="shared" si="8"/>
        <v>101121514.84968549</v>
      </c>
      <c r="J40" s="113"/>
      <c r="K40" s="109"/>
      <c r="L40" s="96">
        <v>34</v>
      </c>
      <c r="M40" s="104">
        <f t="shared" si="0"/>
        <v>95000</v>
      </c>
      <c r="N40" s="105">
        <f t="shared" si="1"/>
        <v>86573.218347826085</v>
      </c>
      <c r="O40" s="105">
        <f t="shared" si="2"/>
        <v>1.0973370496441237</v>
      </c>
    </row>
    <row r="41" spans="1:21" s="114" customFormat="1">
      <c r="A41" s="95">
        <v>31</v>
      </c>
      <c r="B41" s="118" t="s">
        <v>154</v>
      </c>
      <c r="C41" s="124">
        <v>81839</v>
      </c>
      <c r="D41" s="111">
        <f t="shared" si="3"/>
        <v>28991.501504562966</v>
      </c>
      <c r="E41" s="112">
        <f t="shared" si="4"/>
        <v>566.86085992436324</v>
      </c>
      <c r="F41" s="112">
        <f t="shared" si="5"/>
        <v>2.8327080304149654</v>
      </c>
      <c r="G41" s="85">
        <f t="shared" si="6"/>
        <v>84092.604057454446</v>
      </c>
      <c r="H41" s="90">
        <f t="shared" si="7"/>
        <v>-2253.6040574544459</v>
      </c>
      <c r="I41" s="90">
        <f t="shared" si="8"/>
        <v>5078731.2477751411</v>
      </c>
      <c r="J41" s="113"/>
      <c r="K41" s="109"/>
      <c r="L41" s="96">
        <v>35</v>
      </c>
      <c r="M41" s="104">
        <f t="shared" si="0"/>
        <v>90628</v>
      </c>
      <c r="N41" s="105">
        <f t="shared" si="1"/>
        <v>87881.082924901188</v>
      </c>
      <c r="O41" s="105">
        <f t="shared" si="2"/>
        <v>1.0312572055745626</v>
      </c>
    </row>
    <row r="42" spans="1:21" s="114" customFormat="1">
      <c r="A42" s="95">
        <v>32</v>
      </c>
      <c r="B42" s="118" t="s">
        <v>155</v>
      </c>
      <c r="C42" s="124">
        <v>76488</v>
      </c>
      <c r="D42" s="111">
        <f t="shared" si="3"/>
        <v>26782.294692376847</v>
      </c>
      <c r="E42" s="112">
        <f t="shared" si="4"/>
        <v>501.9279955591021</v>
      </c>
      <c r="F42" s="112">
        <f t="shared" si="5"/>
        <v>2.8998375022467666</v>
      </c>
      <c r="G42" s="85">
        <f t="shared" si="6"/>
        <v>85774.514072804435</v>
      </c>
      <c r="H42" s="90">
        <f t="shared" si="7"/>
        <v>-9286.5140728044353</v>
      </c>
      <c r="I42" s="90">
        <f t="shared" si="8"/>
        <v>86239343.624394819</v>
      </c>
      <c r="J42" s="113"/>
      <c r="K42" s="109"/>
      <c r="L42" s="96">
        <v>36</v>
      </c>
      <c r="M42" s="104">
        <f t="shared" si="0"/>
        <v>85438</v>
      </c>
      <c r="N42" s="105">
        <f t="shared" si="1"/>
        <v>89188.947501976276</v>
      </c>
      <c r="O42" s="105">
        <f t="shared" si="2"/>
        <v>0.9579438079825624</v>
      </c>
    </row>
    <row r="43" spans="1:21" s="114" customFormat="1">
      <c r="A43" s="95">
        <v>33</v>
      </c>
      <c r="B43" s="118" t="s">
        <v>171</v>
      </c>
      <c r="C43" s="124">
        <v>92900</v>
      </c>
      <c r="D43" s="111">
        <f t="shared" si="3"/>
        <v>28850.156243619891</v>
      </c>
      <c r="E43" s="112">
        <f t="shared" si="4"/>
        <v>538.55554329425331</v>
      </c>
      <c r="F43" s="112">
        <f t="shared" si="5"/>
        <v>3.1947750803496153</v>
      </c>
      <c r="G43" s="85">
        <f t="shared" si="6"/>
        <v>87135.001942095987</v>
      </c>
      <c r="H43" s="90">
        <f t="shared" si="7"/>
        <v>5764.998057904013</v>
      </c>
      <c r="I43" s="90">
        <f t="shared" si="8"/>
        <v>33235202.60763704</v>
      </c>
      <c r="J43" s="113"/>
      <c r="K43" s="109"/>
      <c r="L43" s="96">
        <v>37</v>
      </c>
      <c r="M43" s="104">
        <f t="shared" si="0"/>
        <v>80000</v>
      </c>
      <c r="N43" s="105">
        <f t="shared" si="1"/>
        <v>90496.812079051379</v>
      </c>
      <c r="O43" s="105">
        <f t="shared" si="2"/>
        <v>0.88400904034186167</v>
      </c>
    </row>
    <row r="44" spans="1:21" s="114" customFormat="1">
      <c r="A44" s="95">
        <v>34</v>
      </c>
      <c r="B44" s="118" t="s">
        <v>156</v>
      </c>
      <c r="C44" s="124">
        <v>95000</v>
      </c>
      <c r="D44" s="111">
        <f t="shared" si="3"/>
        <v>31071.918458273394</v>
      </c>
      <c r="E44" s="112">
        <f t="shared" si="4"/>
        <v>577.92613630540359</v>
      </c>
      <c r="F44" s="112">
        <f t="shared" si="5"/>
        <v>3.0334371302937817</v>
      </c>
      <c r="G44" s="85">
        <f t="shared" si="6"/>
        <v>89116.194577645147</v>
      </c>
      <c r="H44" s="90">
        <f t="shared" si="7"/>
        <v>5883.8054223548534</v>
      </c>
      <c r="I44" s="90">
        <f t="shared" si="8"/>
        <v>34619166.248132378</v>
      </c>
      <c r="J44" s="113"/>
      <c r="K44" s="109"/>
      <c r="L44" s="96">
        <v>38</v>
      </c>
      <c r="M44" s="104">
        <f t="shared" si="0"/>
        <v>90000</v>
      </c>
      <c r="N44" s="105">
        <f t="shared" si="1"/>
        <v>91804.676656126481</v>
      </c>
      <c r="O44" s="105">
        <f t="shared" si="2"/>
        <v>0.98034221434180013</v>
      </c>
    </row>
    <row r="45" spans="1:21" s="114" customFormat="1">
      <c r="A45" s="95">
        <v>35</v>
      </c>
      <c r="B45" s="118" t="s">
        <v>157</v>
      </c>
      <c r="C45" s="124">
        <v>90628</v>
      </c>
      <c r="D45" s="111">
        <f t="shared" si="3"/>
        <v>31947.881036433173</v>
      </c>
      <c r="E45" s="112">
        <f t="shared" si="4"/>
        <v>584.89727755288004</v>
      </c>
      <c r="F45" s="112">
        <f t="shared" si="5"/>
        <v>2.8328865640621923</v>
      </c>
      <c r="G45" s="85">
        <f t="shared" si="6"/>
        <v>89654.768944449039</v>
      </c>
      <c r="H45" s="90">
        <f t="shared" si="7"/>
        <v>973.23105555096117</v>
      </c>
      <c r="I45" s="90">
        <f t="shared" si="8"/>
        <v>947178.6874888381</v>
      </c>
      <c r="J45" s="113"/>
      <c r="K45" s="109"/>
      <c r="L45" s="96">
        <v>39</v>
      </c>
      <c r="M45" s="104">
        <f t="shared" si="0"/>
        <v>112000</v>
      </c>
      <c r="N45" s="105">
        <f t="shared" si="1"/>
        <v>93112.541233201569</v>
      </c>
      <c r="O45" s="105">
        <f t="shared" si="2"/>
        <v>1.2028454869413836</v>
      </c>
    </row>
    <row r="46" spans="1:21" s="114" customFormat="1">
      <c r="A46" s="95">
        <v>36</v>
      </c>
      <c r="B46" s="118" t="s">
        <v>158</v>
      </c>
      <c r="C46" s="124">
        <v>85438</v>
      </c>
      <c r="D46" s="111">
        <f t="shared" si="3"/>
        <v>29869.859283063441</v>
      </c>
      <c r="E46" s="112">
        <f t="shared" si="4"/>
        <v>522.6109860522422</v>
      </c>
      <c r="F46" s="112">
        <f t="shared" si="5"/>
        <v>2.8980909185618633</v>
      </c>
      <c r="G46" s="85">
        <f t="shared" si="6"/>
        <v>94339.770607177095</v>
      </c>
      <c r="H46" s="90">
        <f t="shared" si="7"/>
        <v>-8901.7706071770954</v>
      </c>
      <c r="I46" s="90">
        <f t="shared" si="8"/>
        <v>79241519.942802072</v>
      </c>
      <c r="J46" s="113"/>
      <c r="K46" s="109"/>
      <c r="L46" s="96">
        <v>40</v>
      </c>
      <c r="M46" s="104">
        <f t="shared" si="0"/>
        <v>95000</v>
      </c>
      <c r="N46" s="105">
        <f t="shared" si="1"/>
        <v>94420.405810276672</v>
      </c>
      <c r="O46" s="105">
        <f t="shared" si="2"/>
        <v>1.0061384420533834</v>
      </c>
    </row>
    <row r="47" spans="1:21" s="114" customFormat="1">
      <c r="A47" s="95">
        <v>37</v>
      </c>
      <c r="B47" s="118" t="s">
        <v>159</v>
      </c>
      <c r="C47" s="124">
        <v>80000</v>
      </c>
      <c r="D47" s="111">
        <f t="shared" si="3"/>
        <v>25750.123718420728</v>
      </c>
      <c r="E47" s="112">
        <f t="shared" si="4"/>
        <v>414.02542744313041</v>
      </c>
      <c r="F47" s="112">
        <f t="shared" si="5"/>
        <v>3.19088382726662</v>
      </c>
      <c r="G47" s="85">
        <f t="shared" si="6"/>
        <v>97097.10664603734</v>
      </c>
      <c r="H47" s="90">
        <f t="shared" si="7"/>
        <v>-17097.10664603734</v>
      </c>
      <c r="I47" s="90">
        <f t="shared" si="8"/>
        <v>292311055.6659742</v>
      </c>
      <c r="J47" s="113"/>
      <c r="K47" s="109"/>
      <c r="L47" s="96">
        <v>41</v>
      </c>
      <c r="M47" s="104">
        <f t="shared" si="0"/>
        <v>85000</v>
      </c>
      <c r="N47" s="105">
        <f t="shared" si="1"/>
        <v>95728.270387351775</v>
      </c>
      <c r="O47" s="105">
        <f t="shared" si="2"/>
        <v>0.88792996735508489</v>
      </c>
    </row>
    <row r="48" spans="1:21" s="114" customFormat="1">
      <c r="A48" s="95">
        <v>38</v>
      </c>
      <c r="B48" s="118" t="s">
        <v>160</v>
      </c>
      <c r="C48" s="124">
        <v>90000</v>
      </c>
      <c r="D48" s="111">
        <f t="shared" si="3"/>
        <v>29204.780193217463</v>
      </c>
      <c r="E48" s="112">
        <f t="shared" si="4"/>
        <v>485.14649029262279</v>
      </c>
      <c r="F48" s="112">
        <f t="shared" si="5"/>
        <v>3.0355708419726128</v>
      </c>
      <c r="G48" s="85">
        <f t="shared" si="6"/>
        <v>79367.30150160777</v>
      </c>
      <c r="H48" s="90">
        <f t="shared" si="7"/>
        <v>10632.69849839223</v>
      </c>
      <c r="I48" s="90">
        <f t="shared" si="8"/>
        <v>113054277.35771239</v>
      </c>
      <c r="J48" s="113"/>
      <c r="K48" s="109"/>
      <c r="L48" s="96">
        <v>42</v>
      </c>
      <c r="M48" s="104">
        <f t="shared" si="0"/>
        <v>90000</v>
      </c>
      <c r="N48" s="105">
        <f t="shared" si="1"/>
        <v>97036.134964426863</v>
      </c>
      <c r="O48" s="105">
        <f t="shared" si="2"/>
        <v>0.92748953812921042</v>
      </c>
    </row>
    <row r="49" spans="1:15" s="114" customFormat="1">
      <c r="A49" s="95">
        <v>39</v>
      </c>
      <c r="B49" s="118" t="s">
        <v>161</v>
      </c>
      <c r="C49" s="132">
        <v>112000</v>
      </c>
      <c r="D49" s="111">
        <f t="shared" si="3"/>
        <v>38230.807666967718</v>
      </c>
      <c r="E49" s="112">
        <f t="shared" si="4"/>
        <v>684.91967018671198</v>
      </c>
      <c r="F49" s="112">
        <f t="shared" si="5"/>
        <v>2.8371622848157809</v>
      </c>
      <c r="G49" s="85">
        <f t="shared" si="6"/>
        <v>84108.194389707292</v>
      </c>
      <c r="H49" s="90">
        <f t="shared" si="7"/>
        <v>27891.805610292708</v>
      </c>
      <c r="I49" s="90">
        <f t="shared" si="8"/>
        <v>777952820.20235574</v>
      </c>
      <c r="J49" s="113"/>
      <c r="K49" s="109"/>
      <c r="L49" s="96">
        <v>43</v>
      </c>
      <c r="M49" s="104">
        <f t="shared" si="0"/>
        <v>90000</v>
      </c>
      <c r="N49" s="105">
        <f t="shared" si="1"/>
        <v>98343.999541501966</v>
      </c>
      <c r="O49" s="105">
        <f t="shared" si="2"/>
        <v>0.915154970507573</v>
      </c>
    </row>
    <row r="50" spans="1:15" s="114" customFormat="1">
      <c r="A50" s="95">
        <v>40</v>
      </c>
      <c r="B50" s="118" t="s">
        <v>162</v>
      </c>
      <c r="C50" s="124">
        <v>95000</v>
      </c>
      <c r="D50" s="111">
        <f t="shared" si="3"/>
        <v>33593.332138853315</v>
      </c>
      <c r="E50" s="112">
        <f t="shared" si="4"/>
        <v>560.42761655933577</v>
      </c>
      <c r="F50" s="112">
        <f t="shared" si="5"/>
        <v>2.8949888099960899</v>
      </c>
      <c r="G50" s="85">
        <f t="shared" si="6"/>
        <v>112781.3159850369</v>
      </c>
      <c r="H50" s="90">
        <f t="shared" si="7"/>
        <v>-17781.315985036897</v>
      </c>
      <c r="I50" s="90">
        <f t="shared" si="8"/>
        <v>316175198.15972871</v>
      </c>
      <c r="J50" s="113"/>
      <c r="K50" s="109"/>
      <c r="L50" s="96">
        <v>44</v>
      </c>
      <c r="M50" s="104">
        <f t="shared" si="0"/>
        <v>95000</v>
      </c>
      <c r="N50" s="105">
        <f t="shared" si="1"/>
        <v>99651.864118577068</v>
      </c>
      <c r="O50" s="105">
        <f t="shared" si="2"/>
        <v>0.95331884496368524</v>
      </c>
    </row>
    <row r="51" spans="1:15" s="114" customFormat="1">
      <c r="A51" s="95">
        <v>41</v>
      </c>
      <c r="B51" s="118" t="s">
        <v>163</v>
      </c>
      <c r="C51" s="124">
        <v>85000</v>
      </c>
      <c r="D51" s="111">
        <f t="shared" si="3"/>
        <v>27634.388406930477</v>
      </c>
      <c r="E51" s="112">
        <f t="shared" si="4"/>
        <v>407.93801417297323</v>
      </c>
      <c r="F51" s="112">
        <f t="shared" si="5"/>
        <v>3.1857980444854008</v>
      </c>
      <c r="G51" s="85">
        <f t="shared" si="6"/>
        <v>108980.67964389577</v>
      </c>
      <c r="H51" s="90">
        <f t="shared" si="7"/>
        <v>-23980.679643895768</v>
      </c>
      <c r="I51" s="90">
        <f t="shared" si="8"/>
        <v>575072996.18315685</v>
      </c>
      <c r="J51" s="113"/>
      <c r="K51" s="109"/>
      <c r="L51" s="96">
        <v>45</v>
      </c>
      <c r="M51" s="104">
        <f t="shared" si="0"/>
        <v>131500</v>
      </c>
      <c r="N51" s="105">
        <f t="shared" si="1"/>
        <v>100959.72869565216</v>
      </c>
      <c r="O51" s="105">
        <f t="shared" si="2"/>
        <v>1.3024995381714319</v>
      </c>
    </row>
    <row r="52" spans="1:15" s="114" customFormat="1">
      <c r="A52" s="95">
        <v>42</v>
      </c>
      <c r="B52" s="118" t="s">
        <v>164</v>
      </c>
      <c r="C52" s="124">
        <v>90000</v>
      </c>
      <c r="D52" s="111">
        <f t="shared" si="3"/>
        <v>29435.601360808003</v>
      </c>
      <c r="E52" s="112">
        <f t="shared" si="4"/>
        <v>440.52703698111486</v>
      </c>
      <c r="F52" s="112">
        <f t="shared" si="5"/>
        <v>3.0365415647891392</v>
      </c>
      <c r="G52" s="85">
        <f t="shared" si="6"/>
        <v>85124.468424979845</v>
      </c>
      <c r="H52" s="90">
        <f t="shared" si="7"/>
        <v>4875.5315750201553</v>
      </c>
      <c r="I52" s="90">
        <f t="shared" si="8"/>
        <v>23770808.139018517</v>
      </c>
      <c r="J52" s="113"/>
      <c r="K52" s="109"/>
      <c r="L52" s="96"/>
      <c r="M52" s="104"/>
      <c r="N52" s="105"/>
      <c r="O52" s="105"/>
    </row>
    <row r="53" spans="1:15" s="114" customFormat="1">
      <c r="A53" s="95">
        <v>43</v>
      </c>
      <c r="B53" s="118" t="s">
        <v>165</v>
      </c>
      <c r="C53" s="124">
        <v>90000</v>
      </c>
      <c r="D53" s="111">
        <f t="shared" si="3"/>
        <v>31477.228182966683</v>
      </c>
      <c r="E53" s="112">
        <f>$C$2*(D53-D52)+(1-$C$2)*E52</f>
        <v>477.97713095059862</v>
      </c>
      <c r="F53" s="112">
        <f t="shared" si="5"/>
        <v>2.8381372678242895</v>
      </c>
      <c r="G53" s="85">
        <f t="shared" si="6"/>
        <v>84763.424706521007</v>
      </c>
      <c r="H53" s="90">
        <f t="shared" si="7"/>
        <v>5236.5752934789925</v>
      </c>
      <c r="I53" s="90">
        <f t="shared" si="8"/>
        <v>27421720.804274596</v>
      </c>
      <c r="J53" s="113"/>
      <c r="K53" s="109"/>
      <c r="L53" s="96"/>
      <c r="M53" s="104"/>
      <c r="N53" s="105"/>
      <c r="O53" s="105"/>
    </row>
    <row r="54" spans="1:15" s="114" customFormat="1">
      <c r="A54" s="95">
        <v>44</v>
      </c>
      <c r="B54" s="118" t="s">
        <v>166</v>
      </c>
      <c r="C54" s="124">
        <v>95000</v>
      </c>
      <c r="D54" s="111">
        <f t="shared" si="3"/>
        <v>32701.335042728067</v>
      </c>
      <c r="E54" s="112">
        <f t="shared" si="4"/>
        <v>495.42927772875242</v>
      </c>
      <c r="F54" s="112">
        <f t="shared" si="5"/>
        <v>2.8954350687030148</v>
      </c>
      <c r="G54" s="85">
        <f t="shared" si="6"/>
        <v>92509.961804918115</v>
      </c>
      <c r="H54" s="90">
        <f t="shared" si="7"/>
        <v>2490.0381950818846</v>
      </c>
      <c r="I54" s="90">
        <f t="shared" si="8"/>
        <v>6200290.2129666498</v>
      </c>
      <c r="J54" s="113"/>
      <c r="K54" s="109"/>
      <c r="L54" s="96"/>
      <c r="M54" s="104"/>
      <c r="N54" s="105"/>
      <c r="O54" s="105"/>
    </row>
    <row r="55" spans="1:15" s="114" customFormat="1">
      <c r="A55" s="95">
        <v>45</v>
      </c>
      <c r="B55" s="118" t="s">
        <v>167</v>
      </c>
      <c r="C55" s="132">
        <v>131500</v>
      </c>
      <c r="D55" s="111">
        <f t="shared" si="3"/>
        <v>40206.088025614466</v>
      </c>
      <c r="E55" s="112">
        <f t="shared" si="4"/>
        <v>659.37897895962988</v>
      </c>
      <c r="F55" s="112">
        <f t="shared" si="5"/>
        <v>3.1895503093906594</v>
      </c>
      <c r="G55" s="85">
        <f t="shared" si="6"/>
        <v>105758.18685535407</v>
      </c>
      <c r="H55" s="90">
        <f t="shared" si="7"/>
        <v>25741.81314464593</v>
      </c>
      <c r="I55" s="90">
        <f t="shared" si="8"/>
        <v>662640943.97386599</v>
      </c>
      <c r="J55" s="113"/>
      <c r="K55" s="109"/>
      <c r="L55" s="96"/>
      <c r="M55" s="104"/>
      <c r="N55" s="105"/>
      <c r="O55" s="105"/>
    </row>
    <row r="56" spans="1:15" s="114" customFormat="1">
      <c r="A56" s="95">
        <v>46</v>
      </c>
      <c r="B56" s="118" t="s">
        <v>172</v>
      </c>
      <c r="C56" s="125"/>
      <c r="D56" s="111"/>
      <c r="E56" s="112"/>
      <c r="F56" s="112"/>
      <c r="G56" s="136">
        <f>($D$55+$E$55*J56)*F52</f>
        <v>124089.68912390835</v>
      </c>
      <c r="H56" s="90"/>
      <c r="I56" s="90"/>
      <c r="J56" s="113">
        <v>1</v>
      </c>
      <c r="K56" s="109"/>
      <c r="L56" s="96"/>
      <c r="M56" s="104"/>
      <c r="N56" s="105"/>
      <c r="O56" s="105"/>
    </row>
    <row r="57" spans="1:15" s="114" customFormat="1">
      <c r="A57" s="95">
        <v>47</v>
      </c>
      <c r="B57" s="118" t="s">
        <v>173</v>
      </c>
      <c r="C57" s="125"/>
      <c r="D57" s="111"/>
      <c r="E57" s="112"/>
      <c r="F57" s="112"/>
      <c r="G57" s="136">
        <f>($D$55+$E$55*J57)*F53</f>
        <v>117853.21292653083</v>
      </c>
      <c r="H57" s="90"/>
      <c r="I57" s="90"/>
      <c r="J57" s="113">
        <v>2</v>
      </c>
      <c r="K57" s="109"/>
      <c r="L57" s="96"/>
      <c r="M57" s="104"/>
      <c r="N57" s="105"/>
      <c r="O57" s="105"/>
    </row>
    <row r="58" spans="1:15" s="114" customFormat="1">
      <c r="A58" s="95">
        <v>48</v>
      </c>
      <c r="B58" s="118" t="s">
        <v>174</v>
      </c>
      <c r="C58" s="125"/>
      <c r="D58" s="111"/>
      <c r="E58" s="112"/>
      <c r="F58" s="112"/>
      <c r="G58" s="136">
        <f>($D$55+$E$55*J58)*F54</f>
        <v>122141.68430246037</v>
      </c>
      <c r="H58" s="90"/>
      <c r="I58" s="90"/>
      <c r="J58" s="113">
        <v>3</v>
      </c>
      <c r="K58" s="109"/>
      <c r="L58" s="96"/>
      <c r="M58" s="104"/>
      <c r="N58" s="105"/>
      <c r="O58" s="105"/>
    </row>
    <row r="59" spans="1:15" s="114" customFormat="1">
      <c r="A59" s="95">
        <v>49</v>
      </c>
      <c r="B59" s="118" t="s">
        <v>175</v>
      </c>
      <c r="C59" s="125"/>
      <c r="D59" s="111"/>
      <c r="E59" s="112"/>
      <c r="F59" s="112"/>
      <c r="G59" s="136">
        <f>($D$55+$E$55*J59)*F55</f>
        <v>136651.83020687226</v>
      </c>
      <c r="H59" s="90"/>
      <c r="I59" s="90"/>
      <c r="J59" s="113">
        <v>4</v>
      </c>
      <c r="K59" s="109"/>
      <c r="L59" s="96"/>
      <c r="M59" s="104"/>
      <c r="N59" s="105"/>
      <c r="O59" s="105"/>
    </row>
    <row r="60" spans="1:15" s="114" customFormat="1">
      <c r="C60" s="116"/>
      <c r="K60" s="109"/>
      <c r="L60" s="96"/>
      <c r="M60" s="104"/>
      <c r="N60" s="105"/>
      <c r="O60" s="105"/>
    </row>
    <row r="61" spans="1:15" s="114" customFormat="1">
      <c r="C61" s="116"/>
      <c r="K61" s="109"/>
      <c r="L61" s="96"/>
      <c r="M61" s="104"/>
      <c r="N61" s="105"/>
      <c r="O61" s="105"/>
    </row>
    <row r="62" spans="1:15" s="114" customFormat="1">
      <c r="C62" s="116"/>
      <c r="K62" s="109"/>
      <c r="L62" s="96"/>
      <c r="M62" s="104"/>
      <c r="N62" s="105"/>
      <c r="O62" s="105"/>
    </row>
    <row r="63" spans="1:15" s="114" customFormat="1">
      <c r="A63" s="92"/>
      <c r="B63" s="101"/>
      <c r="C63" s="126"/>
      <c r="D63" s="92"/>
      <c r="E63" s="92"/>
      <c r="F63" s="92"/>
      <c r="G63" s="102"/>
      <c r="H63" s="103"/>
      <c r="I63" s="103"/>
      <c r="J63" s="91"/>
      <c r="K63" s="109"/>
      <c r="L63" s="96"/>
      <c r="M63" s="104"/>
      <c r="N63" s="105"/>
      <c r="O63" s="105"/>
    </row>
    <row r="64" spans="1:15" s="114" customFormat="1">
      <c r="A64" s="92"/>
      <c r="B64" s="101"/>
      <c r="C64" s="126"/>
      <c r="D64" s="92"/>
      <c r="E64" s="92"/>
      <c r="F64" s="92"/>
      <c r="G64" s="102"/>
      <c r="H64" s="103"/>
      <c r="I64" s="103"/>
      <c r="J64" s="91"/>
      <c r="K64" s="109"/>
      <c r="L64" s="96"/>
      <c r="M64" s="104"/>
      <c r="N64" s="105"/>
      <c r="O64" s="105"/>
    </row>
    <row r="65" spans="1:20" s="114" customFormat="1">
      <c r="A65" s="92"/>
      <c r="B65" s="101"/>
      <c r="C65" s="126"/>
      <c r="D65" s="92"/>
      <c r="E65" s="92"/>
      <c r="F65" s="92"/>
      <c r="G65" s="102"/>
      <c r="H65" s="103"/>
      <c r="I65" s="103"/>
      <c r="J65" s="91"/>
      <c r="K65" s="109"/>
      <c r="L65" s="96"/>
      <c r="M65" s="104"/>
      <c r="N65" s="105"/>
      <c r="O65" s="105"/>
    </row>
    <row r="66" spans="1:20" s="114" customFormat="1">
      <c r="A66" s="92"/>
      <c r="B66" s="101"/>
      <c r="C66" s="126"/>
      <c r="D66" s="92"/>
      <c r="E66" s="92"/>
      <c r="F66" s="92"/>
      <c r="G66" s="102"/>
      <c r="H66" s="103"/>
      <c r="I66" s="103"/>
      <c r="J66" s="91"/>
      <c r="K66" s="109"/>
      <c r="L66" s="96"/>
      <c r="M66" s="104"/>
      <c r="N66" s="105"/>
      <c r="O66" s="105"/>
    </row>
    <row r="67" spans="1:20" s="114" customFormat="1">
      <c r="A67" s="92"/>
      <c r="B67" s="101"/>
      <c r="C67" s="126"/>
      <c r="D67" s="92"/>
      <c r="E67" s="92"/>
      <c r="F67" s="92"/>
      <c r="G67" s="102"/>
      <c r="H67" s="103"/>
      <c r="I67" s="103"/>
      <c r="J67" s="91"/>
      <c r="K67" s="109"/>
      <c r="L67" s="96"/>
      <c r="M67" s="104"/>
      <c r="N67" s="105"/>
      <c r="O67" s="105"/>
    </row>
    <row r="68" spans="1:20" s="114" customFormat="1">
      <c r="A68" s="92"/>
      <c r="B68" s="101"/>
      <c r="C68" s="126"/>
      <c r="D68" s="92"/>
      <c r="E68" s="92"/>
      <c r="F68" s="92"/>
      <c r="G68" s="102"/>
      <c r="H68" s="103"/>
      <c r="I68" s="103"/>
      <c r="J68" s="91"/>
      <c r="K68" s="109"/>
      <c r="L68" s="96"/>
      <c r="M68" s="104"/>
      <c r="N68" s="105"/>
      <c r="O68" s="105"/>
    </row>
    <row r="69" spans="1:20" s="114" customFormat="1">
      <c r="A69" s="92"/>
      <c r="B69" s="101"/>
      <c r="C69" s="126"/>
      <c r="D69" s="92"/>
      <c r="E69" s="92"/>
      <c r="F69" s="92"/>
      <c r="G69" s="102"/>
      <c r="H69" s="103"/>
      <c r="I69" s="103"/>
      <c r="J69" s="91"/>
      <c r="K69" s="109"/>
      <c r="L69" s="96"/>
      <c r="M69" s="104"/>
      <c r="N69" s="105"/>
      <c r="O69" s="105"/>
    </row>
    <row r="70" spans="1:20" s="114" customFormat="1">
      <c r="A70" s="92"/>
      <c r="B70" s="101"/>
      <c r="C70" s="126"/>
      <c r="D70" s="92"/>
      <c r="E70" s="92"/>
      <c r="F70" s="92"/>
      <c r="G70" s="102"/>
      <c r="H70" s="103"/>
      <c r="I70" s="103"/>
      <c r="J70" s="91"/>
      <c r="K70" s="109"/>
      <c r="L70" s="96"/>
      <c r="M70" s="104"/>
      <c r="N70" s="105"/>
      <c r="O70" s="105"/>
    </row>
    <row r="72" spans="1:20" ht="18.600000000000001" thickBot="1"/>
    <row r="73" spans="1:20">
      <c r="L73" s="122"/>
      <c r="M73" s="122" t="s">
        <v>24</v>
      </c>
      <c r="N73" s="122" t="s">
        <v>25</v>
      </c>
      <c r="O73" s="122" t="s">
        <v>26</v>
      </c>
      <c r="P73" s="122" t="s">
        <v>27</v>
      </c>
      <c r="Q73" s="122" t="s">
        <v>28</v>
      </c>
      <c r="R73" s="122" t="s">
        <v>29</v>
      </c>
      <c r="S73" s="122" t="s">
        <v>30</v>
      </c>
      <c r="T73" s="122" t="s">
        <v>31</v>
      </c>
    </row>
    <row r="74" spans="1:20">
      <c r="L74" s="118" t="s">
        <v>32</v>
      </c>
      <c r="M74" s="118">
        <f>Regression!B17</f>
        <v>42105.822727272738</v>
      </c>
      <c r="N74" s="118">
        <f>Regression!C17</f>
        <v>3585.0065937613304</v>
      </c>
      <c r="O74" s="118">
        <f>Regression!D17</f>
        <v>11.744977763930972</v>
      </c>
      <c r="P74" s="118">
        <f>Regression!E17</f>
        <v>5.2600151376247311E-15</v>
      </c>
      <c r="Q74" s="118">
        <f>Regression!F17</f>
        <v>34875.967895453949</v>
      </c>
      <c r="R74" s="118">
        <f>Regression!G17</f>
        <v>49335.677559091528</v>
      </c>
      <c r="S74" s="118">
        <f>Regression!H17</f>
        <v>34875.967895453949</v>
      </c>
      <c r="T74" s="118">
        <f>Regression!I17</f>
        <v>49335.677559091528</v>
      </c>
    </row>
    <row r="75" spans="1:20" ht="18.600000000000001" thickBot="1">
      <c r="L75" s="123" t="s">
        <v>33</v>
      </c>
      <c r="M75" s="123">
        <f>Regression!B18</f>
        <v>1307.8645770750984</v>
      </c>
      <c r="N75" s="123">
        <f>Regression!C18</f>
        <v>135.72691314090241</v>
      </c>
      <c r="O75" s="123">
        <f>Regression!D18</f>
        <v>9.6360003098085834</v>
      </c>
      <c r="P75" s="123">
        <f>Regression!E18</f>
        <v>2.6276687783086315E-12</v>
      </c>
      <c r="Q75" s="123">
        <f>Regression!F18</f>
        <v>1034.1451701185679</v>
      </c>
      <c r="R75" s="123">
        <f>Regression!G18</f>
        <v>1581.5839840316289</v>
      </c>
      <c r="S75" s="123">
        <f>Regression!H18</f>
        <v>1034.1451701185679</v>
      </c>
      <c r="T75" s="123">
        <f>Regression!I18</f>
        <v>1581.5839840316289</v>
      </c>
    </row>
    <row r="76" spans="1:20">
      <c r="L76" s="75"/>
      <c r="M76" s="117"/>
      <c r="O76" s="117"/>
    </row>
    <row r="77" spans="1:20">
      <c r="L77" s="75"/>
      <c r="M77" s="117"/>
      <c r="O77" s="117"/>
    </row>
    <row r="78" spans="1:20">
      <c r="L78" s="75"/>
      <c r="M78" s="117"/>
      <c r="O78" s="117"/>
    </row>
    <row r="79" spans="1:20">
      <c r="L79" s="75"/>
      <c r="M79" s="117"/>
      <c r="O79" s="117"/>
    </row>
    <row r="80" spans="1:20">
      <c r="L80" s="75"/>
      <c r="M80" s="117"/>
      <c r="O80" s="117"/>
    </row>
    <row r="81" spans="1:15">
      <c r="L81" s="75"/>
      <c r="M81" s="117"/>
      <c r="O81" s="117"/>
    </row>
    <row r="82" spans="1:15">
      <c r="L82" s="75"/>
      <c r="M82" s="117"/>
      <c r="O82" s="117"/>
    </row>
    <row r="83" spans="1:15">
      <c r="A83" s="95"/>
      <c r="B83" s="118"/>
      <c r="C83" s="127"/>
      <c r="D83" s="111"/>
      <c r="E83" s="112"/>
      <c r="F83" s="112"/>
      <c r="G83" s="85"/>
      <c r="H83" s="90"/>
      <c r="I83" s="90"/>
      <c r="J83" s="113"/>
      <c r="L83" s="75"/>
      <c r="M83" s="117"/>
      <c r="O83" s="117"/>
    </row>
    <row r="84" spans="1:15">
      <c r="A84" s="95"/>
      <c r="B84" s="118"/>
      <c r="C84" s="127"/>
      <c r="D84" s="111"/>
      <c r="E84" s="112"/>
      <c r="F84" s="112"/>
      <c r="G84" s="85"/>
      <c r="H84" s="90"/>
      <c r="I84" s="90"/>
      <c r="J84" s="113"/>
      <c r="L84" s="75"/>
      <c r="M84" s="117"/>
      <c r="O84" s="117"/>
    </row>
    <row r="85" spans="1:15">
      <c r="A85" s="95"/>
      <c r="B85" s="118"/>
      <c r="C85" s="127"/>
      <c r="D85" s="111"/>
      <c r="E85" s="112"/>
      <c r="F85" s="112"/>
      <c r="G85" s="85"/>
      <c r="H85" s="90"/>
      <c r="I85" s="90"/>
      <c r="J85" s="113"/>
      <c r="L85" s="75"/>
      <c r="M85" s="117"/>
      <c r="O85" s="117"/>
    </row>
    <row r="86" spans="1:15">
      <c r="A86" s="95"/>
      <c r="B86" s="118"/>
      <c r="C86" s="127"/>
      <c r="D86" s="111"/>
      <c r="E86" s="112"/>
      <c r="F86" s="112"/>
      <c r="G86" s="85"/>
      <c r="H86" s="90"/>
      <c r="I86" s="90"/>
      <c r="J86" s="113"/>
      <c r="L86" s="75"/>
      <c r="M86" s="117"/>
      <c r="O86" s="117"/>
    </row>
    <row r="87" spans="1:15">
      <c r="A87" s="95"/>
      <c r="B87" s="115"/>
      <c r="C87" s="128"/>
      <c r="D87" s="111"/>
      <c r="E87" s="112"/>
      <c r="F87" s="112"/>
      <c r="G87" s="85"/>
      <c r="H87" s="90"/>
      <c r="I87" s="90"/>
      <c r="J87" s="113"/>
      <c r="L87" s="75"/>
      <c r="M87" s="117"/>
      <c r="O87" s="117"/>
    </row>
    <row r="88" spans="1:15">
      <c r="A88" s="95"/>
      <c r="B88" s="115"/>
      <c r="C88" s="128"/>
      <c r="G88" s="85"/>
      <c r="J88" s="113"/>
    </row>
    <row r="89" spans="1:15">
      <c r="A89" s="95"/>
      <c r="B89" s="115"/>
      <c r="C89" s="128"/>
      <c r="G89" s="85"/>
      <c r="J89" s="113"/>
    </row>
    <row r="90" spans="1:15">
      <c r="A90" s="95"/>
      <c r="B90" s="115"/>
      <c r="G90" s="85"/>
      <c r="J90" s="113"/>
    </row>
    <row r="91" spans="1:15">
      <c r="A91" s="95"/>
      <c r="B91" s="115"/>
      <c r="G91" s="85"/>
      <c r="J91" s="113"/>
    </row>
    <row r="92" spans="1:15">
      <c r="A92" s="95"/>
      <c r="B92" s="115"/>
      <c r="G92" s="85"/>
      <c r="J92" s="113"/>
    </row>
    <row r="93" spans="1:15">
      <c r="A93" s="95"/>
      <c r="B93" s="115"/>
      <c r="G93" s="85"/>
      <c r="J93" s="113"/>
    </row>
    <row r="94" spans="1:15">
      <c r="A94" s="95"/>
      <c r="B94" s="115"/>
      <c r="G94" s="85"/>
      <c r="J94" s="113"/>
    </row>
    <row r="95" spans="1:15">
      <c r="A95" s="95"/>
      <c r="B95" s="115"/>
      <c r="G95" s="85"/>
      <c r="J95" s="113"/>
    </row>
    <row r="96" spans="1:15">
      <c r="A96" s="95"/>
      <c r="B96" s="115"/>
      <c r="G96" s="85"/>
      <c r="J96" s="113"/>
    </row>
    <row r="97" spans="1:10">
      <c r="A97" s="95"/>
      <c r="B97" s="115"/>
      <c r="G97" s="85"/>
      <c r="J97" s="113"/>
    </row>
    <row r="98" spans="1:10">
      <c r="A98" s="95"/>
      <c r="B98" s="115"/>
      <c r="G98" s="85"/>
      <c r="J98" s="113"/>
    </row>
    <row r="99" spans="1:10">
      <c r="A99" s="95"/>
      <c r="B99" s="115"/>
      <c r="G99" s="85"/>
      <c r="J99" s="113"/>
    </row>
    <row r="100" spans="1:10">
      <c r="A100" s="95"/>
      <c r="B100" s="115"/>
      <c r="G100" s="85"/>
      <c r="J100" s="113"/>
    </row>
    <row r="101" spans="1:10">
      <c r="A101" s="95"/>
      <c r="B101" s="115"/>
      <c r="G101" s="85"/>
      <c r="J101" s="113"/>
    </row>
    <row r="102" spans="1:10">
      <c r="A102" s="95"/>
      <c r="B102" s="115"/>
      <c r="G102" s="85"/>
      <c r="J102" s="113"/>
    </row>
    <row r="103" spans="1:10">
      <c r="A103" s="95"/>
      <c r="B103" s="115"/>
      <c r="G103" s="85"/>
      <c r="J103" s="113"/>
    </row>
    <row r="104" spans="1:10">
      <c r="A104" s="95"/>
      <c r="B104" s="115"/>
      <c r="G104" s="85"/>
      <c r="J104" s="113"/>
    </row>
    <row r="105" spans="1:10">
      <c r="A105" s="95"/>
      <c r="B105" s="115"/>
      <c r="G105" s="85"/>
      <c r="J105" s="113"/>
    </row>
    <row r="106" spans="1:10">
      <c r="A106" s="95"/>
      <c r="B106" s="115"/>
      <c r="G106" s="85"/>
      <c r="J106" s="113"/>
    </row>
    <row r="107" spans="1:10">
      <c r="A107" s="95"/>
      <c r="B107" s="115"/>
      <c r="G107" s="85"/>
      <c r="J107" s="113"/>
    </row>
    <row r="108" spans="1:10">
      <c r="A108" s="95"/>
      <c r="B108" s="115"/>
      <c r="G108" s="85"/>
      <c r="J108" s="113"/>
    </row>
    <row r="109" spans="1:10">
      <c r="A109" s="95"/>
      <c r="B109" s="115"/>
      <c r="G109" s="85"/>
      <c r="J109" s="113"/>
    </row>
    <row r="110" spans="1:10">
      <c r="A110" s="95"/>
      <c r="B110" s="115"/>
      <c r="G110" s="85"/>
      <c r="J110" s="113"/>
    </row>
    <row r="111" spans="1:10">
      <c r="A111" s="95"/>
      <c r="B111" s="115"/>
      <c r="G111" s="85"/>
      <c r="J111" s="113"/>
    </row>
    <row r="112" spans="1:10">
      <c r="A112" s="95"/>
      <c r="B112" s="115"/>
      <c r="G112" s="85"/>
      <c r="J112" s="113"/>
    </row>
    <row r="113" spans="1:10">
      <c r="A113" s="95"/>
      <c r="B113" s="115"/>
      <c r="G113" s="85"/>
      <c r="J113" s="113"/>
    </row>
    <row r="114" spans="1:10">
      <c r="A114" s="95"/>
      <c r="B114" s="115"/>
      <c r="G114" s="85"/>
      <c r="J114" s="113"/>
    </row>
    <row r="115" spans="1:10">
      <c r="A115" s="95"/>
      <c r="B115" s="115"/>
      <c r="G115" s="85"/>
      <c r="J115" s="113"/>
    </row>
    <row r="116" spans="1:10">
      <c r="A116" s="95"/>
      <c r="B116" s="115"/>
      <c r="G116" s="85"/>
      <c r="J116" s="113"/>
    </row>
    <row r="117" spans="1:10">
      <c r="A117" s="95"/>
      <c r="B117" s="115"/>
      <c r="G117" s="85"/>
      <c r="J117" s="113"/>
    </row>
    <row r="118" spans="1:10">
      <c r="A118" s="95"/>
      <c r="B118" s="115"/>
      <c r="G118" s="85"/>
      <c r="J118" s="113"/>
    </row>
    <row r="119" spans="1:10">
      <c r="A119" s="95"/>
      <c r="B119" s="115"/>
      <c r="G119" s="85"/>
      <c r="J119" s="113"/>
    </row>
    <row r="120" spans="1:10">
      <c r="A120" s="95"/>
      <c r="B120" s="115"/>
      <c r="G120" s="85"/>
      <c r="J120" s="113"/>
    </row>
    <row r="121" spans="1:10">
      <c r="A121" s="95"/>
      <c r="B121" s="115"/>
      <c r="G121" s="85"/>
      <c r="J121" s="113"/>
    </row>
    <row r="122" spans="1:10">
      <c r="A122" s="95"/>
      <c r="B122" s="115"/>
      <c r="G122" s="85"/>
      <c r="J122" s="113"/>
    </row>
    <row r="123" spans="1:10">
      <c r="A123" s="95"/>
      <c r="B123" s="115"/>
      <c r="G123" s="85"/>
      <c r="J123" s="113"/>
    </row>
    <row r="124" spans="1:10">
      <c r="A124" s="95"/>
      <c r="B124" s="115"/>
      <c r="G124" s="85"/>
      <c r="J124" s="113"/>
    </row>
    <row r="125" spans="1:10">
      <c r="A125" s="95"/>
      <c r="B125" s="115"/>
      <c r="G125" s="85"/>
      <c r="J125" s="113"/>
    </row>
    <row r="126" spans="1:10">
      <c r="A126" s="95"/>
      <c r="B126" s="115"/>
      <c r="G126" s="85"/>
      <c r="J126" s="113"/>
    </row>
    <row r="127" spans="1:10">
      <c r="A127" s="95"/>
      <c r="B127" s="115"/>
      <c r="G127" s="85"/>
      <c r="J127" s="113"/>
    </row>
    <row r="128" spans="1:10">
      <c r="A128" s="95"/>
      <c r="B128" s="115"/>
      <c r="G128" s="85"/>
      <c r="J128" s="113"/>
    </row>
    <row r="129" spans="1:10">
      <c r="A129" s="95"/>
      <c r="B129" s="115"/>
      <c r="G129" s="85"/>
      <c r="J129" s="113"/>
    </row>
    <row r="130" spans="1:10">
      <c r="A130" s="95"/>
      <c r="B130" s="115"/>
      <c r="G130" s="85"/>
      <c r="J130" s="113"/>
    </row>
    <row r="131" spans="1:10">
      <c r="A131" s="95"/>
      <c r="B131" s="115"/>
      <c r="G131" s="85"/>
      <c r="J131" s="113"/>
    </row>
    <row r="132" spans="1:10">
      <c r="A132" s="95"/>
      <c r="B132" s="115"/>
      <c r="G132" s="85"/>
      <c r="J132" s="113"/>
    </row>
    <row r="133" spans="1:10">
      <c r="A133" s="95"/>
      <c r="B133" s="115"/>
      <c r="G133" s="85"/>
      <c r="J133" s="113"/>
    </row>
    <row r="134" spans="1:10">
      <c r="A134" s="95"/>
      <c r="B134" s="115"/>
      <c r="G134" s="85"/>
      <c r="J134" s="113"/>
    </row>
    <row r="135" spans="1:10">
      <c r="A135" s="95"/>
      <c r="B135" s="115"/>
      <c r="G135" s="85"/>
      <c r="J135" s="113"/>
    </row>
    <row r="136" spans="1:10">
      <c r="A136" s="95"/>
      <c r="B136" s="115"/>
      <c r="G136" s="85"/>
      <c r="J136" s="113"/>
    </row>
    <row r="137" spans="1:10">
      <c r="A137" s="95"/>
      <c r="B137" s="115"/>
      <c r="G137" s="85"/>
      <c r="J137" s="113"/>
    </row>
    <row r="138" spans="1:10">
      <c r="A138" s="95"/>
      <c r="B138" s="115"/>
      <c r="G138" s="85"/>
      <c r="J138" s="113"/>
    </row>
    <row r="139" spans="1:10">
      <c r="A139" s="95"/>
      <c r="B139" s="115"/>
      <c r="G139" s="85"/>
      <c r="J139" s="113"/>
    </row>
    <row r="140" spans="1:10">
      <c r="A140" s="95"/>
      <c r="B140" s="115"/>
      <c r="G140" s="85"/>
      <c r="J140" s="113"/>
    </row>
    <row r="141" spans="1:10">
      <c r="A141" s="95"/>
      <c r="B141" s="115"/>
      <c r="G141" s="85"/>
      <c r="J141" s="113"/>
    </row>
    <row r="142" spans="1:10">
      <c r="A142" s="95"/>
      <c r="B142" s="115"/>
      <c r="G142" s="85"/>
      <c r="J142" s="113"/>
    </row>
    <row r="143" spans="1:10">
      <c r="A143" s="95"/>
      <c r="B143" s="115"/>
      <c r="G143" s="85"/>
      <c r="J143" s="113"/>
    </row>
    <row r="144" spans="1:10">
      <c r="A144" s="95"/>
      <c r="B144" s="115"/>
      <c r="G144" s="85"/>
      <c r="J144" s="113"/>
    </row>
    <row r="145" spans="1:10">
      <c r="A145" s="95"/>
      <c r="B145" s="115"/>
      <c r="G145" s="85"/>
      <c r="J145" s="113"/>
    </row>
    <row r="146" spans="1:10">
      <c r="A146" s="95"/>
      <c r="B146" s="115"/>
      <c r="G146" s="85"/>
      <c r="J146" s="113"/>
    </row>
    <row r="147" spans="1:10">
      <c r="A147" s="95"/>
      <c r="B147" s="115"/>
      <c r="G147" s="85"/>
      <c r="J147" s="113"/>
    </row>
    <row r="148" spans="1:10">
      <c r="A148" s="95"/>
      <c r="B148" s="115"/>
      <c r="G148" s="85"/>
      <c r="J148" s="113"/>
    </row>
    <row r="149" spans="1:10">
      <c r="A149" s="95"/>
      <c r="B149" s="115"/>
      <c r="G149" s="85"/>
      <c r="J149" s="113"/>
    </row>
    <row r="150" spans="1:10">
      <c r="A150" s="95"/>
      <c r="B150" s="115"/>
      <c r="G150" s="85"/>
      <c r="J150" s="113"/>
    </row>
    <row r="151" spans="1:10">
      <c r="A151" s="95"/>
      <c r="B151" s="115"/>
      <c r="G151" s="85"/>
      <c r="J151" s="113"/>
    </row>
    <row r="152" spans="1:10">
      <c r="A152" s="95"/>
      <c r="B152" s="115"/>
      <c r="G152" s="85"/>
      <c r="J152" s="113"/>
    </row>
    <row r="153" spans="1:10">
      <c r="A153" s="95"/>
      <c r="B153" s="115"/>
      <c r="G153" s="85"/>
      <c r="J153" s="113"/>
    </row>
    <row r="154" spans="1:10">
      <c r="A154" s="95"/>
      <c r="B154" s="115"/>
      <c r="G154" s="85"/>
      <c r="J154" s="113"/>
    </row>
    <row r="155" spans="1:10">
      <c r="A155" s="95"/>
      <c r="B155" s="115"/>
      <c r="G155" s="85"/>
      <c r="J155" s="113"/>
    </row>
    <row r="156" spans="1:10">
      <c r="A156" s="95"/>
      <c r="B156" s="115"/>
      <c r="G156" s="85"/>
      <c r="J156" s="113"/>
    </row>
    <row r="157" spans="1:10">
      <c r="A157" s="95"/>
      <c r="B157" s="115"/>
      <c r="G157" s="85"/>
      <c r="J157" s="113"/>
    </row>
    <row r="158" spans="1:10">
      <c r="A158" s="95"/>
      <c r="B158" s="115"/>
      <c r="G158" s="85"/>
      <c r="J158" s="113"/>
    </row>
    <row r="159" spans="1:10">
      <c r="A159" s="95"/>
      <c r="B159" s="115"/>
      <c r="G159" s="85"/>
      <c r="J159" s="113"/>
    </row>
    <row r="160" spans="1:10">
      <c r="A160" s="95"/>
      <c r="B160" s="115"/>
      <c r="G160" s="85"/>
      <c r="J160" s="113"/>
    </row>
    <row r="161" spans="1:10">
      <c r="A161" s="95"/>
      <c r="B161" s="115"/>
      <c r="G161" s="85"/>
      <c r="J161" s="113"/>
    </row>
    <row r="162" spans="1:10">
      <c r="A162" s="95"/>
      <c r="B162" s="115"/>
      <c r="G162" s="85"/>
      <c r="J162" s="113"/>
    </row>
    <row r="163" spans="1:10">
      <c r="A163" s="95"/>
      <c r="B163" s="115"/>
      <c r="G163" s="85"/>
      <c r="J163" s="113"/>
    </row>
    <row r="164" spans="1:10">
      <c r="A164" s="95"/>
      <c r="B164" s="115"/>
      <c r="G164" s="85"/>
      <c r="J164" s="113"/>
    </row>
    <row r="165" spans="1:10">
      <c r="A165" s="95"/>
      <c r="B165" s="115"/>
      <c r="G165" s="85"/>
      <c r="J165" s="113"/>
    </row>
    <row r="166" spans="1:10">
      <c r="A166" s="95"/>
      <c r="B166" s="115"/>
      <c r="G166" s="85"/>
      <c r="J166" s="113"/>
    </row>
    <row r="167" spans="1:10">
      <c r="A167" s="95"/>
      <c r="B167" s="115"/>
      <c r="G167" s="85"/>
      <c r="J167" s="113"/>
    </row>
    <row r="168" spans="1:10">
      <c r="A168" s="95"/>
      <c r="B168" s="115"/>
      <c r="G168" s="85"/>
      <c r="J168" s="113"/>
    </row>
    <row r="169" spans="1:10">
      <c r="A169" s="95"/>
      <c r="B169" s="115"/>
      <c r="G169" s="85"/>
      <c r="J169" s="113"/>
    </row>
    <row r="170" spans="1:10">
      <c r="A170" s="95"/>
      <c r="B170" s="115"/>
      <c r="G170" s="85"/>
      <c r="J170" s="113"/>
    </row>
    <row r="171" spans="1:10">
      <c r="A171" s="95"/>
      <c r="B171" s="115"/>
      <c r="G171" s="85"/>
      <c r="J171" s="113"/>
    </row>
    <row r="172" spans="1:10">
      <c r="A172" s="95"/>
      <c r="B172" s="115"/>
      <c r="G172" s="85"/>
      <c r="J172" s="113"/>
    </row>
    <row r="173" spans="1:10">
      <c r="A173" s="95"/>
      <c r="B173" s="115"/>
      <c r="G173" s="85"/>
      <c r="J173" s="113"/>
    </row>
    <row r="174" spans="1:10">
      <c r="A174" s="95"/>
      <c r="B174" s="115"/>
      <c r="G174" s="85"/>
      <c r="J174" s="113"/>
    </row>
    <row r="175" spans="1:10">
      <c r="A175" s="95"/>
      <c r="B175" s="115"/>
      <c r="G175" s="85"/>
      <c r="J175" s="113"/>
    </row>
    <row r="176" spans="1:10">
      <c r="A176" s="95"/>
      <c r="B176" s="115"/>
      <c r="G176" s="85"/>
      <c r="J176" s="113"/>
    </row>
    <row r="177" spans="1:10">
      <c r="A177" s="95"/>
      <c r="B177" s="115"/>
      <c r="G177" s="85"/>
      <c r="J177" s="113"/>
    </row>
    <row r="178" spans="1:10">
      <c r="A178" s="95"/>
      <c r="B178" s="115"/>
      <c r="G178" s="85"/>
      <c r="J178" s="113"/>
    </row>
    <row r="179" spans="1:10">
      <c r="A179" s="95"/>
      <c r="B179" s="115"/>
      <c r="G179" s="85"/>
      <c r="J179" s="113"/>
    </row>
    <row r="180" spans="1:10">
      <c r="A180" s="95"/>
      <c r="B180" s="115"/>
      <c r="G180" s="85"/>
      <c r="J180" s="113"/>
    </row>
    <row r="181" spans="1:10">
      <c r="A181" s="95"/>
      <c r="B181" s="115"/>
      <c r="G181" s="85"/>
      <c r="J181" s="113"/>
    </row>
    <row r="182" spans="1:10">
      <c r="A182" s="95"/>
      <c r="B182" s="115"/>
      <c r="G182" s="85"/>
      <c r="J182" s="113"/>
    </row>
    <row r="183" spans="1:10">
      <c r="A183" s="95"/>
      <c r="B183" s="115"/>
      <c r="G183" s="85"/>
      <c r="J183" s="113"/>
    </row>
    <row r="184" spans="1:10">
      <c r="A184" s="95"/>
      <c r="B184" s="115"/>
      <c r="G184" s="85"/>
      <c r="J184" s="113"/>
    </row>
    <row r="185" spans="1:10">
      <c r="A185" s="95"/>
      <c r="B185" s="115"/>
      <c r="G185" s="85"/>
      <c r="J185" s="113"/>
    </row>
    <row r="186" spans="1:10">
      <c r="A186" s="95"/>
      <c r="B186" s="115"/>
      <c r="G186" s="85"/>
      <c r="J186" s="113"/>
    </row>
    <row r="187" spans="1:10">
      <c r="A187" s="95"/>
      <c r="B187" s="115"/>
      <c r="G187" s="85"/>
      <c r="J187" s="113"/>
    </row>
    <row r="188" spans="1:10">
      <c r="A188" s="95"/>
      <c r="B188" s="115"/>
      <c r="G188" s="85"/>
      <c r="J188" s="113"/>
    </row>
    <row r="189" spans="1:10">
      <c r="A189" s="95"/>
      <c r="B189" s="115"/>
      <c r="G189" s="85"/>
      <c r="J189" s="113"/>
    </row>
    <row r="190" spans="1:10">
      <c r="A190" s="95"/>
      <c r="B190" s="115"/>
      <c r="G190" s="85"/>
      <c r="J190" s="113"/>
    </row>
    <row r="191" spans="1:10">
      <c r="A191" s="95"/>
      <c r="B191" s="115"/>
      <c r="G191" s="85"/>
      <c r="J191" s="113"/>
    </row>
    <row r="192" spans="1:10">
      <c r="A192" s="95"/>
      <c r="B192" s="115"/>
      <c r="G192" s="85"/>
      <c r="J192" s="113"/>
    </row>
    <row r="193" spans="1:10">
      <c r="A193" s="95"/>
      <c r="B193" s="115"/>
      <c r="G193" s="85"/>
      <c r="J193" s="113"/>
    </row>
    <row r="194" spans="1:10">
      <c r="A194" s="95"/>
      <c r="B194" s="115"/>
      <c r="G194" s="85"/>
      <c r="J194" s="113"/>
    </row>
    <row r="195" spans="1:10">
      <c r="A195" s="95"/>
      <c r="B195" s="115"/>
      <c r="G195" s="85"/>
      <c r="J195" s="113"/>
    </row>
    <row r="196" spans="1:10">
      <c r="A196" s="95"/>
      <c r="B196" s="115"/>
      <c r="G196" s="85"/>
      <c r="J196" s="113"/>
    </row>
    <row r="197" spans="1:10">
      <c r="A197" s="95"/>
      <c r="B197" s="115"/>
      <c r="G197" s="85"/>
      <c r="J197" s="113"/>
    </row>
    <row r="198" spans="1:10">
      <c r="A198" s="95"/>
      <c r="B198" s="115"/>
      <c r="G198" s="85"/>
      <c r="J198" s="113"/>
    </row>
    <row r="199" spans="1:10">
      <c r="A199" s="95"/>
      <c r="B199" s="115"/>
      <c r="G199" s="85"/>
      <c r="J199" s="113"/>
    </row>
    <row r="200" spans="1:10">
      <c r="A200" s="95"/>
      <c r="B200" s="115"/>
      <c r="G200" s="85"/>
      <c r="J200" s="113"/>
    </row>
    <row r="201" spans="1:10">
      <c r="A201" s="95"/>
      <c r="B201" s="115"/>
      <c r="G201" s="85"/>
      <c r="J201" s="113"/>
    </row>
    <row r="202" spans="1:10">
      <c r="A202" s="95"/>
      <c r="B202" s="115"/>
      <c r="G202" s="85"/>
      <c r="J202" s="113"/>
    </row>
    <row r="203" spans="1:10">
      <c r="A203" s="95"/>
      <c r="B203" s="115"/>
      <c r="G203" s="85"/>
      <c r="J203" s="113"/>
    </row>
    <row r="204" spans="1:10">
      <c r="A204" s="95"/>
      <c r="B204" s="115"/>
      <c r="G204" s="85"/>
      <c r="J204" s="113"/>
    </row>
    <row r="205" spans="1:10">
      <c r="A205" s="95"/>
      <c r="B205" s="115"/>
      <c r="G205" s="85"/>
      <c r="J205" s="113"/>
    </row>
    <row r="206" spans="1:10">
      <c r="A206" s="95"/>
      <c r="B206" s="115"/>
      <c r="G206" s="85"/>
      <c r="J206" s="113"/>
    </row>
    <row r="207" spans="1:10">
      <c r="A207" s="95"/>
      <c r="B207" s="115"/>
      <c r="G207" s="85"/>
      <c r="J207" s="113"/>
    </row>
    <row r="208" spans="1:10">
      <c r="A208" s="95"/>
      <c r="B208" s="115"/>
      <c r="G208" s="85"/>
      <c r="J208" s="113"/>
    </row>
    <row r="209" spans="1:10">
      <c r="A209" s="95"/>
      <c r="B209" s="115"/>
      <c r="G209" s="85"/>
      <c r="J209" s="113"/>
    </row>
    <row r="210" spans="1:10">
      <c r="A210" s="95"/>
      <c r="B210" s="115"/>
      <c r="G210" s="85"/>
      <c r="J210" s="113"/>
    </row>
    <row r="211" spans="1:10">
      <c r="A211" s="95"/>
      <c r="B211" s="115"/>
      <c r="G211" s="85"/>
      <c r="J211" s="113"/>
    </row>
    <row r="212" spans="1:10">
      <c r="A212" s="95"/>
      <c r="B212" s="115"/>
      <c r="G212" s="85"/>
      <c r="J212" s="113"/>
    </row>
    <row r="213" spans="1:10">
      <c r="A213" s="95"/>
      <c r="B213" s="115"/>
      <c r="G213" s="85"/>
      <c r="J213" s="113"/>
    </row>
    <row r="214" spans="1:10">
      <c r="A214" s="95"/>
      <c r="B214" s="115"/>
      <c r="G214" s="85"/>
      <c r="J214" s="113"/>
    </row>
    <row r="215" spans="1:10">
      <c r="A215" s="95"/>
      <c r="B215" s="115"/>
      <c r="G215" s="85"/>
      <c r="J215" s="113"/>
    </row>
    <row r="216" spans="1:10">
      <c r="A216" s="95"/>
      <c r="B216" s="115"/>
      <c r="G216" s="85"/>
      <c r="J216" s="113"/>
    </row>
    <row r="217" spans="1:10">
      <c r="A217" s="95"/>
      <c r="B217" s="115"/>
      <c r="G217" s="85"/>
      <c r="J217" s="113"/>
    </row>
    <row r="218" spans="1:10">
      <c r="A218" s="95"/>
      <c r="B218" s="115"/>
      <c r="G218" s="85"/>
      <c r="J218" s="113"/>
    </row>
    <row r="219" spans="1:10">
      <c r="A219" s="95"/>
      <c r="B219" s="115"/>
      <c r="G219" s="85"/>
      <c r="J219" s="113"/>
    </row>
    <row r="220" spans="1:10">
      <c r="A220" s="95"/>
      <c r="B220" s="115"/>
      <c r="G220" s="85"/>
      <c r="J220" s="113"/>
    </row>
    <row r="221" spans="1:10">
      <c r="A221" s="95"/>
      <c r="B221" s="115"/>
      <c r="G221" s="85"/>
      <c r="J221" s="113"/>
    </row>
    <row r="222" spans="1:10">
      <c r="A222" s="95"/>
      <c r="B222" s="115"/>
      <c r="G222" s="85"/>
      <c r="J222" s="113"/>
    </row>
    <row r="223" spans="1:10">
      <c r="A223" s="95"/>
      <c r="B223" s="115"/>
      <c r="G223" s="85"/>
      <c r="J223" s="113"/>
    </row>
    <row r="224" spans="1:10">
      <c r="A224" s="95"/>
      <c r="B224" s="115"/>
      <c r="G224" s="85"/>
      <c r="J224" s="113"/>
    </row>
    <row r="225" spans="1:10">
      <c r="A225" s="95"/>
      <c r="B225" s="115"/>
      <c r="G225" s="85"/>
      <c r="J225" s="113"/>
    </row>
    <row r="226" spans="1:10">
      <c r="A226" s="95"/>
      <c r="B226" s="115"/>
      <c r="G226" s="85"/>
      <c r="J226" s="113"/>
    </row>
    <row r="227" spans="1:10">
      <c r="A227" s="95"/>
      <c r="B227" s="115"/>
      <c r="G227" s="85"/>
      <c r="J227" s="113"/>
    </row>
    <row r="228" spans="1:10">
      <c r="A228" s="95"/>
      <c r="B228" s="115"/>
      <c r="G228" s="85"/>
      <c r="J228" s="113"/>
    </row>
    <row r="229" spans="1:10">
      <c r="A229" s="95"/>
      <c r="B229" s="115"/>
      <c r="G229" s="85"/>
      <c r="J229" s="113"/>
    </row>
    <row r="230" spans="1:10">
      <c r="A230" s="95"/>
      <c r="B230" s="115"/>
      <c r="G230" s="85"/>
      <c r="J230" s="113"/>
    </row>
    <row r="231" spans="1:10">
      <c r="A231" s="95"/>
      <c r="B231" s="115"/>
      <c r="G231" s="85"/>
      <c r="J231" s="113"/>
    </row>
    <row r="232" spans="1:10">
      <c r="A232" s="95"/>
      <c r="B232" s="115"/>
      <c r="G232" s="85"/>
      <c r="J232" s="113"/>
    </row>
    <row r="233" spans="1:10">
      <c r="A233" s="95"/>
      <c r="B233" s="115"/>
      <c r="G233" s="85"/>
      <c r="J233" s="113"/>
    </row>
    <row r="234" spans="1:10">
      <c r="A234" s="95"/>
      <c r="B234" s="115"/>
      <c r="G234" s="85"/>
      <c r="J234" s="113"/>
    </row>
    <row r="235" spans="1:10">
      <c r="A235" s="95"/>
      <c r="B235" s="115"/>
      <c r="G235" s="85"/>
      <c r="J235" s="113"/>
    </row>
    <row r="236" spans="1:10">
      <c r="A236" s="95"/>
      <c r="B236" s="115"/>
      <c r="G236" s="85"/>
      <c r="J236" s="113"/>
    </row>
    <row r="237" spans="1:10">
      <c r="A237" s="95"/>
      <c r="B237" s="115"/>
      <c r="G237" s="85"/>
      <c r="J237" s="113"/>
    </row>
    <row r="238" spans="1:10">
      <c r="A238" s="95"/>
      <c r="B238" s="115"/>
      <c r="G238" s="85"/>
      <c r="J238" s="113"/>
    </row>
    <row r="239" spans="1:10">
      <c r="A239" s="95"/>
      <c r="B239" s="115"/>
      <c r="G239" s="85"/>
      <c r="J239" s="113"/>
    </row>
    <row r="240" spans="1:10">
      <c r="A240" s="95"/>
      <c r="B240" s="115"/>
      <c r="G240" s="85"/>
      <c r="J240" s="113"/>
    </row>
    <row r="241" spans="1:10">
      <c r="A241" s="95"/>
      <c r="B241" s="115"/>
      <c r="G241" s="85"/>
      <c r="J241" s="113"/>
    </row>
    <row r="242" spans="1:10">
      <c r="A242" s="95"/>
      <c r="B242" s="115"/>
      <c r="G242" s="85"/>
      <c r="J242" s="113"/>
    </row>
    <row r="243" spans="1:10">
      <c r="A243" s="95"/>
      <c r="B243" s="115"/>
      <c r="G243" s="85"/>
      <c r="J243" s="113"/>
    </row>
    <row r="244" spans="1:10">
      <c r="A244" s="95"/>
      <c r="B244" s="115"/>
      <c r="G244" s="85"/>
      <c r="J244" s="113"/>
    </row>
    <row r="245" spans="1:10">
      <c r="A245" s="95"/>
      <c r="B245" s="115"/>
      <c r="G245" s="85"/>
      <c r="J245" s="113"/>
    </row>
    <row r="246" spans="1:10">
      <c r="A246" s="95"/>
      <c r="B246" s="115"/>
      <c r="G246" s="85"/>
      <c r="J246" s="113"/>
    </row>
    <row r="247" spans="1:10">
      <c r="A247" s="95"/>
      <c r="B247" s="115"/>
      <c r="G247" s="85"/>
      <c r="J247" s="113"/>
    </row>
    <row r="248" spans="1:10">
      <c r="A248" s="95"/>
      <c r="B248" s="115"/>
      <c r="G248" s="85"/>
      <c r="J248" s="113"/>
    </row>
    <row r="249" spans="1:10">
      <c r="A249" s="95"/>
      <c r="B249" s="115"/>
      <c r="G249" s="85"/>
      <c r="J249" s="113"/>
    </row>
    <row r="250" spans="1:10">
      <c r="A250" s="95"/>
      <c r="B250" s="115"/>
      <c r="G250" s="85"/>
      <c r="J250" s="113"/>
    </row>
    <row r="251" spans="1:10">
      <c r="A251" s="95"/>
      <c r="B251" s="115"/>
      <c r="G251" s="85"/>
      <c r="J251" s="113"/>
    </row>
    <row r="252" spans="1:10">
      <c r="A252" s="95"/>
      <c r="B252" s="115"/>
      <c r="G252" s="85"/>
      <c r="J252" s="113"/>
    </row>
    <row r="253" spans="1:10">
      <c r="A253" s="95"/>
      <c r="B253" s="115"/>
      <c r="G253" s="85"/>
      <c r="J253" s="113"/>
    </row>
    <row r="254" spans="1:10">
      <c r="A254" s="95"/>
      <c r="B254" s="115"/>
      <c r="G254" s="85"/>
      <c r="J254" s="113"/>
    </row>
    <row r="255" spans="1:10">
      <c r="A255" s="95"/>
      <c r="B255" s="115"/>
      <c r="G255" s="85"/>
      <c r="J255" s="113"/>
    </row>
    <row r="256" spans="1:10">
      <c r="A256" s="95"/>
      <c r="B256" s="115"/>
      <c r="G256" s="85"/>
      <c r="J256" s="113"/>
    </row>
    <row r="257" spans="1:10">
      <c r="A257" s="95"/>
      <c r="B257" s="115"/>
      <c r="G257" s="85"/>
      <c r="J257" s="113"/>
    </row>
    <row r="258" spans="1:10">
      <c r="A258" s="95"/>
      <c r="B258" s="115"/>
      <c r="G258" s="85"/>
      <c r="J258" s="113"/>
    </row>
    <row r="259" spans="1:10">
      <c r="A259" s="95"/>
      <c r="B259" s="115"/>
      <c r="G259" s="85"/>
      <c r="J259" s="113"/>
    </row>
    <row r="260" spans="1:10">
      <c r="A260" s="95"/>
      <c r="B260" s="115"/>
      <c r="G260" s="85"/>
      <c r="J260" s="113"/>
    </row>
    <row r="261" spans="1:10">
      <c r="A261" s="95"/>
      <c r="B261" s="115"/>
      <c r="G261" s="85"/>
      <c r="J261" s="113"/>
    </row>
    <row r="262" spans="1:10">
      <c r="A262" s="95"/>
      <c r="B262" s="115"/>
      <c r="G262" s="85"/>
      <c r="J262" s="113"/>
    </row>
    <row r="263" spans="1:10">
      <c r="A263" s="95"/>
      <c r="B263" s="115"/>
      <c r="G263" s="85"/>
      <c r="J263" s="113"/>
    </row>
    <row r="264" spans="1:10">
      <c r="A264" s="95"/>
      <c r="B264" s="115"/>
      <c r="G264" s="85"/>
      <c r="J264" s="113"/>
    </row>
    <row r="265" spans="1:10">
      <c r="A265" s="95"/>
      <c r="B265" s="115"/>
      <c r="G265" s="85"/>
      <c r="J265" s="113"/>
    </row>
    <row r="266" spans="1:10">
      <c r="A266" s="95"/>
      <c r="B266" s="115"/>
      <c r="G266" s="85"/>
      <c r="J266" s="113"/>
    </row>
    <row r="267" spans="1:10">
      <c r="A267" s="95"/>
      <c r="B267" s="115"/>
      <c r="G267" s="85"/>
      <c r="J267" s="113"/>
    </row>
    <row r="268" spans="1:10">
      <c r="A268" s="95"/>
      <c r="B268" s="115"/>
      <c r="G268" s="85"/>
      <c r="J268" s="113"/>
    </row>
    <row r="269" spans="1:10">
      <c r="A269" s="95"/>
      <c r="B269" s="115"/>
      <c r="G269" s="85"/>
      <c r="J269" s="113"/>
    </row>
    <row r="270" spans="1:10">
      <c r="A270" s="95"/>
      <c r="B270" s="115"/>
      <c r="G270" s="85"/>
      <c r="J270" s="113"/>
    </row>
    <row r="271" spans="1:10">
      <c r="A271" s="95"/>
      <c r="B271" s="115"/>
      <c r="G271" s="85"/>
      <c r="J271" s="113"/>
    </row>
    <row r="272" spans="1:10">
      <c r="A272" s="95"/>
      <c r="B272" s="115"/>
      <c r="G272" s="85"/>
      <c r="J272" s="113"/>
    </row>
    <row r="273" spans="1:10">
      <c r="A273" s="95"/>
      <c r="B273" s="115"/>
      <c r="G273" s="85"/>
      <c r="J273" s="113"/>
    </row>
    <row r="274" spans="1:10">
      <c r="A274" s="95"/>
      <c r="B274" s="115"/>
      <c r="G274" s="85"/>
      <c r="J274" s="113"/>
    </row>
    <row r="275" spans="1:10">
      <c r="A275" s="95"/>
      <c r="B275" s="115"/>
      <c r="G275" s="85"/>
      <c r="J275" s="113"/>
    </row>
    <row r="276" spans="1:10">
      <c r="A276" s="95"/>
      <c r="B276" s="115"/>
      <c r="G276" s="85"/>
      <c r="J276" s="113"/>
    </row>
    <row r="277" spans="1:10">
      <c r="A277" s="95"/>
      <c r="B277" s="115"/>
      <c r="G277" s="85"/>
      <c r="J277" s="113"/>
    </row>
    <row r="278" spans="1:10">
      <c r="A278" s="95"/>
      <c r="B278" s="115"/>
      <c r="G278" s="85"/>
      <c r="J278" s="113"/>
    </row>
    <row r="279" spans="1:10">
      <c r="A279" s="95"/>
      <c r="B279" s="115"/>
      <c r="G279" s="85"/>
      <c r="J279" s="113"/>
    </row>
    <row r="280" spans="1:10">
      <c r="A280" s="95"/>
      <c r="B280" s="115"/>
      <c r="G280" s="85"/>
      <c r="J280" s="113"/>
    </row>
    <row r="281" spans="1:10">
      <c r="A281" s="95"/>
      <c r="B281" s="115"/>
      <c r="G281" s="85"/>
      <c r="J281" s="113"/>
    </row>
    <row r="282" spans="1:10">
      <c r="A282" s="95"/>
      <c r="B282" s="115"/>
      <c r="G282" s="85"/>
      <c r="J282" s="113"/>
    </row>
    <row r="283" spans="1:10">
      <c r="A283" s="95"/>
      <c r="B283" s="115"/>
      <c r="G283" s="85"/>
      <c r="J283" s="113"/>
    </row>
    <row r="284" spans="1:10">
      <c r="A284" s="95"/>
      <c r="B284" s="115"/>
      <c r="G284" s="85"/>
      <c r="J284" s="113"/>
    </row>
    <row r="285" spans="1:10">
      <c r="A285" s="95"/>
      <c r="B285" s="115"/>
      <c r="G285" s="85"/>
      <c r="J285" s="113"/>
    </row>
    <row r="286" spans="1:10">
      <c r="A286" s="95"/>
      <c r="B286" s="115"/>
      <c r="G286" s="85"/>
      <c r="J286" s="113"/>
    </row>
    <row r="287" spans="1:10">
      <c r="A287" s="95"/>
      <c r="B287" s="115"/>
      <c r="G287" s="85"/>
      <c r="J287" s="113"/>
    </row>
    <row r="288" spans="1:10">
      <c r="A288" s="95"/>
      <c r="B288" s="115"/>
      <c r="G288" s="85"/>
      <c r="J288" s="113"/>
    </row>
    <row r="289" spans="1:10">
      <c r="A289" s="95"/>
      <c r="B289" s="115"/>
      <c r="G289" s="85"/>
      <c r="J289" s="113"/>
    </row>
    <row r="290" spans="1:10">
      <c r="A290" s="95"/>
      <c r="B290" s="115"/>
      <c r="G290" s="85"/>
      <c r="J290" s="113"/>
    </row>
    <row r="291" spans="1:10">
      <c r="A291" s="95"/>
      <c r="B291" s="115"/>
      <c r="G291" s="85"/>
      <c r="J291" s="113"/>
    </row>
    <row r="292" spans="1:10">
      <c r="A292" s="95"/>
      <c r="B292" s="115"/>
      <c r="G292" s="85"/>
      <c r="J292" s="113"/>
    </row>
    <row r="293" spans="1:10">
      <c r="A293" s="95"/>
      <c r="B293" s="115"/>
      <c r="G293" s="85"/>
      <c r="J293" s="113"/>
    </row>
    <row r="294" spans="1:10">
      <c r="A294" s="95"/>
      <c r="B294" s="115"/>
      <c r="G294" s="85"/>
      <c r="J294" s="113"/>
    </row>
    <row r="295" spans="1:10">
      <c r="A295" s="95"/>
      <c r="B295" s="115"/>
      <c r="G295" s="85"/>
      <c r="J295" s="113"/>
    </row>
    <row r="296" spans="1:10">
      <c r="A296" s="95"/>
      <c r="B296" s="115"/>
      <c r="G296" s="85"/>
      <c r="J296" s="113"/>
    </row>
    <row r="297" spans="1:10">
      <c r="A297" s="95"/>
      <c r="B297" s="115"/>
      <c r="G297" s="85"/>
      <c r="J297" s="113"/>
    </row>
    <row r="298" spans="1:10">
      <c r="A298" s="95"/>
      <c r="B298" s="115"/>
      <c r="G298" s="85"/>
      <c r="J298" s="113"/>
    </row>
    <row r="299" spans="1:10">
      <c r="A299" s="95"/>
      <c r="B299" s="115"/>
      <c r="G299" s="85"/>
      <c r="J299" s="113"/>
    </row>
    <row r="300" spans="1:10">
      <c r="A300" s="95"/>
      <c r="B300" s="115"/>
      <c r="G300" s="85"/>
      <c r="J300" s="113"/>
    </row>
    <row r="301" spans="1:10">
      <c r="A301" s="95"/>
      <c r="B301" s="115"/>
      <c r="G301" s="85"/>
      <c r="J301" s="113"/>
    </row>
    <row r="302" spans="1:10">
      <c r="A302" s="95"/>
      <c r="B302" s="115"/>
      <c r="G302" s="85"/>
      <c r="J302" s="113"/>
    </row>
    <row r="303" spans="1:10">
      <c r="A303" s="95"/>
      <c r="B303" s="115"/>
      <c r="G303" s="85"/>
      <c r="J303" s="113"/>
    </row>
    <row r="304" spans="1:10">
      <c r="A304" s="95"/>
      <c r="B304" s="115"/>
      <c r="G304" s="85"/>
      <c r="J304" s="113"/>
    </row>
    <row r="305" spans="1:10">
      <c r="A305" s="95"/>
      <c r="B305" s="115"/>
      <c r="G305" s="85"/>
      <c r="J305" s="113"/>
    </row>
    <row r="306" spans="1:10">
      <c r="A306" s="95"/>
      <c r="B306" s="115"/>
      <c r="G306" s="85"/>
      <c r="J306" s="113"/>
    </row>
    <row r="307" spans="1:10">
      <c r="A307" s="95"/>
      <c r="B307" s="115"/>
      <c r="G307" s="85"/>
      <c r="J307" s="113"/>
    </row>
    <row r="308" spans="1:10">
      <c r="A308" s="95"/>
      <c r="B308" s="115"/>
      <c r="G308" s="85"/>
      <c r="J308" s="113"/>
    </row>
    <row r="309" spans="1:10">
      <c r="A309" s="95"/>
      <c r="B309" s="115"/>
      <c r="G309" s="85"/>
      <c r="J309" s="113"/>
    </row>
    <row r="310" spans="1:10">
      <c r="A310" s="95"/>
      <c r="B310" s="115"/>
      <c r="G310" s="85"/>
      <c r="J310" s="113"/>
    </row>
    <row r="311" spans="1:10">
      <c r="A311" s="95"/>
      <c r="B311" s="115"/>
      <c r="G311" s="85"/>
      <c r="J311" s="113"/>
    </row>
    <row r="312" spans="1:10">
      <c r="A312" s="95"/>
      <c r="B312" s="115"/>
      <c r="G312" s="85"/>
      <c r="J312" s="113"/>
    </row>
    <row r="313" spans="1:10">
      <c r="A313" s="95"/>
      <c r="B313" s="115"/>
      <c r="G313" s="85"/>
      <c r="J313" s="113"/>
    </row>
    <row r="314" spans="1:10">
      <c r="A314" s="95"/>
      <c r="B314" s="115"/>
      <c r="G314" s="85"/>
      <c r="J314" s="113"/>
    </row>
    <row r="315" spans="1:10">
      <c r="A315" s="95"/>
      <c r="B315" s="115"/>
      <c r="G315" s="85"/>
      <c r="J315" s="113"/>
    </row>
    <row r="316" spans="1:10">
      <c r="A316" s="95"/>
      <c r="B316" s="115"/>
      <c r="G316" s="85"/>
      <c r="J316" s="113"/>
    </row>
    <row r="317" spans="1:10">
      <c r="A317" s="95"/>
      <c r="B317" s="115"/>
      <c r="G317" s="85"/>
      <c r="J317" s="113"/>
    </row>
    <row r="318" spans="1:10">
      <c r="A318" s="95"/>
      <c r="B318" s="115"/>
      <c r="G318" s="85"/>
      <c r="J318" s="113"/>
    </row>
    <row r="319" spans="1:10">
      <c r="A319" s="95"/>
      <c r="B319" s="115"/>
      <c r="G319" s="85"/>
      <c r="J319" s="113"/>
    </row>
    <row r="320" spans="1:10">
      <c r="A320" s="95"/>
      <c r="B320" s="115"/>
      <c r="G320" s="85"/>
      <c r="J320" s="113"/>
    </row>
    <row r="321" spans="1:10">
      <c r="A321" s="95"/>
      <c r="B321" s="115"/>
      <c r="G321" s="85"/>
      <c r="J321" s="113"/>
    </row>
    <row r="322" spans="1:10">
      <c r="A322" s="95"/>
      <c r="B322" s="115"/>
      <c r="G322" s="85"/>
      <c r="J322" s="113"/>
    </row>
    <row r="323" spans="1:10">
      <c r="A323" s="95"/>
      <c r="B323" s="115"/>
      <c r="G323" s="85"/>
      <c r="J323" s="113"/>
    </row>
    <row r="324" spans="1:10">
      <c r="A324" s="95"/>
      <c r="B324" s="115"/>
      <c r="G324" s="85"/>
      <c r="J324" s="113"/>
    </row>
    <row r="325" spans="1:10">
      <c r="A325" s="95"/>
      <c r="B325" s="115"/>
      <c r="G325" s="85"/>
      <c r="J325" s="113"/>
    </row>
    <row r="326" spans="1:10">
      <c r="A326" s="95"/>
      <c r="B326" s="115"/>
      <c r="G326" s="85"/>
      <c r="J326" s="113"/>
    </row>
    <row r="327" spans="1:10">
      <c r="A327" s="95"/>
      <c r="B327" s="115"/>
      <c r="G327" s="85"/>
      <c r="J327" s="113"/>
    </row>
    <row r="328" spans="1:10">
      <c r="A328" s="95"/>
      <c r="B328" s="115"/>
      <c r="G328" s="85"/>
      <c r="J328" s="113"/>
    </row>
    <row r="329" spans="1:10">
      <c r="A329" s="95"/>
      <c r="B329" s="115"/>
      <c r="G329" s="85"/>
      <c r="J329" s="113"/>
    </row>
    <row r="330" spans="1:10">
      <c r="A330" s="95"/>
      <c r="B330" s="115"/>
      <c r="G330" s="85"/>
      <c r="J330" s="113"/>
    </row>
    <row r="331" spans="1:10">
      <c r="A331" s="95"/>
      <c r="B331" s="115"/>
      <c r="G331" s="85"/>
      <c r="J331" s="113"/>
    </row>
    <row r="332" spans="1:10">
      <c r="A332" s="95"/>
      <c r="B332" s="115"/>
      <c r="G332" s="85"/>
      <c r="J332" s="113"/>
    </row>
    <row r="333" spans="1:10">
      <c r="A333" s="95"/>
      <c r="B333" s="115"/>
      <c r="G333" s="85"/>
      <c r="J333" s="113"/>
    </row>
    <row r="334" spans="1:10">
      <c r="A334" s="95"/>
      <c r="B334" s="115"/>
      <c r="G334" s="85"/>
      <c r="J334" s="113"/>
    </row>
    <row r="335" spans="1:10">
      <c r="A335" s="95"/>
      <c r="B335" s="115"/>
      <c r="G335" s="85"/>
      <c r="J335" s="113"/>
    </row>
    <row r="336" spans="1:10">
      <c r="A336" s="95"/>
      <c r="B336" s="115"/>
      <c r="G336" s="85"/>
      <c r="J336" s="113"/>
    </row>
    <row r="337" spans="1:10">
      <c r="A337" s="95"/>
      <c r="B337" s="115"/>
      <c r="G337" s="85"/>
      <c r="J337" s="113"/>
    </row>
    <row r="338" spans="1:10">
      <c r="A338" s="95"/>
      <c r="B338" s="115"/>
      <c r="G338" s="85"/>
      <c r="J338" s="113"/>
    </row>
    <row r="339" spans="1:10">
      <c r="A339" s="95"/>
      <c r="B339" s="115"/>
      <c r="G339" s="85"/>
      <c r="J339" s="113"/>
    </row>
    <row r="340" spans="1:10">
      <c r="A340" s="95"/>
      <c r="B340" s="115"/>
      <c r="G340" s="85"/>
      <c r="J340" s="113"/>
    </row>
    <row r="341" spans="1:10">
      <c r="A341" s="95"/>
      <c r="B341" s="115"/>
      <c r="G341" s="85"/>
      <c r="J341" s="113"/>
    </row>
    <row r="342" spans="1:10">
      <c r="A342" s="95"/>
      <c r="B342" s="115"/>
      <c r="G342" s="85"/>
      <c r="J342" s="113"/>
    </row>
    <row r="343" spans="1:10">
      <c r="A343" s="95"/>
      <c r="B343" s="115"/>
      <c r="G343" s="85"/>
      <c r="J343" s="113"/>
    </row>
    <row r="344" spans="1:10">
      <c r="A344" s="95"/>
      <c r="B344" s="115"/>
      <c r="G344" s="85"/>
      <c r="J344" s="113"/>
    </row>
    <row r="345" spans="1:10">
      <c r="A345" s="95"/>
      <c r="B345" s="115"/>
      <c r="G345" s="85"/>
      <c r="J345" s="113"/>
    </row>
    <row r="346" spans="1:10">
      <c r="A346" s="95"/>
      <c r="B346" s="115"/>
      <c r="G346" s="85"/>
      <c r="J346" s="113"/>
    </row>
    <row r="347" spans="1:10">
      <c r="A347" s="95"/>
      <c r="B347" s="115"/>
      <c r="G347" s="85"/>
      <c r="J347" s="113"/>
    </row>
    <row r="348" spans="1:10">
      <c r="A348" s="95"/>
      <c r="B348" s="115"/>
      <c r="G348" s="85"/>
      <c r="J348" s="113"/>
    </row>
    <row r="349" spans="1:10">
      <c r="A349" s="95"/>
      <c r="B349" s="115"/>
      <c r="G349" s="85"/>
      <c r="J349" s="113"/>
    </row>
    <row r="350" spans="1:10">
      <c r="A350" s="95"/>
      <c r="B350" s="115"/>
      <c r="G350" s="85"/>
      <c r="J350" s="113"/>
    </row>
    <row r="351" spans="1:10">
      <c r="A351" s="95"/>
      <c r="B351" s="115"/>
      <c r="G351" s="85"/>
      <c r="J351" s="113"/>
    </row>
    <row r="352" spans="1:10">
      <c r="A352" s="95"/>
      <c r="B352" s="115"/>
      <c r="G352" s="85"/>
      <c r="J352" s="113"/>
    </row>
    <row r="353" spans="1:10">
      <c r="A353" s="95"/>
      <c r="B353" s="115"/>
      <c r="G353" s="85"/>
      <c r="J353" s="113"/>
    </row>
    <row r="354" spans="1:10">
      <c r="A354" s="95"/>
      <c r="B354" s="115"/>
      <c r="G354" s="85"/>
      <c r="J354" s="113"/>
    </row>
    <row r="355" spans="1:10">
      <c r="A355" s="95"/>
      <c r="B355" s="115"/>
      <c r="G355" s="85"/>
      <c r="J355" s="113"/>
    </row>
    <row r="356" spans="1:10">
      <c r="A356" s="95"/>
      <c r="B356" s="115"/>
      <c r="G356" s="85"/>
      <c r="J356" s="113"/>
    </row>
    <row r="357" spans="1:10">
      <c r="A357" s="95"/>
      <c r="B357" s="115"/>
      <c r="G357" s="85"/>
      <c r="J357" s="113"/>
    </row>
    <row r="358" spans="1:10">
      <c r="A358" s="95"/>
      <c r="B358" s="115"/>
      <c r="G358" s="85"/>
      <c r="J358" s="113"/>
    </row>
    <row r="359" spans="1:10">
      <c r="A359" s="95"/>
      <c r="B359" s="115"/>
      <c r="G359" s="85"/>
      <c r="J359" s="113"/>
    </row>
    <row r="360" spans="1:10">
      <c r="A360" s="95"/>
      <c r="B360" s="115"/>
      <c r="G360" s="85"/>
      <c r="J360" s="113"/>
    </row>
    <row r="361" spans="1:10">
      <c r="A361" s="95"/>
      <c r="B361" s="115"/>
      <c r="G361" s="85"/>
      <c r="J361" s="113"/>
    </row>
    <row r="362" spans="1:10">
      <c r="A362" s="95"/>
      <c r="B362" s="115"/>
      <c r="G362" s="85"/>
      <c r="J362" s="113"/>
    </row>
    <row r="363" spans="1:10">
      <c r="A363" s="95"/>
      <c r="B363" s="115"/>
      <c r="G363" s="85"/>
      <c r="J363" s="113"/>
    </row>
    <row r="364" spans="1:10">
      <c r="A364" s="95"/>
      <c r="B364" s="115"/>
      <c r="G364" s="85"/>
      <c r="J364" s="113"/>
    </row>
    <row r="365" spans="1:10">
      <c r="A365" s="95"/>
      <c r="B365" s="115"/>
      <c r="G365" s="85"/>
      <c r="J365" s="113"/>
    </row>
    <row r="366" spans="1:10">
      <c r="A366" s="95"/>
      <c r="B366" s="115"/>
      <c r="G366" s="85"/>
      <c r="J366" s="113"/>
    </row>
    <row r="367" spans="1:10">
      <c r="A367" s="95"/>
      <c r="B367" s="115"/>
      <c r="G367" s="85"/>
      <c r="J367" s="113"/>
    </row>
    <row r="368" spans="1:10">
      <c r="A368" s="95"/>
      <c r="B368" s="115"/>
      <c r="G368" s="85"/>
      <c r="J368" s="113"/>
    </row>
    <row r="369" spans="1:10">
      <c r="A369" s="95"/>
      <c r="B369" s="115"/>
      <c r="G369" s="85"/>
      <c r="J369" s="113"/>
    </row>
    <row r="370" spans="1:10">
      <c r="A370" s="95"/>
      <c r="B370" s="115"/>
      <c r="G370" s="85"/>
      <c r="J370" s="113"/>
    </row>
    <row r="371" spans="1:10">
      <c r="A371" s="95"/>
      <c r="B371" s="115"/>
      <c r="G371" s="85"/>
      <c r="J371" s="113"/>
    </row>
    <row r="372" spans="1:10">
      <c r="A372" s="95"/>
      <c r="B372" s="115"/>
      <c r="G372" s="85"/>
      <c r="J372" s="113"/>
    </row>
    <row r="373" spans="1:10">
      <c r="A373" s="95"/>
      <c r="B373" s="115"/>
      <c r="G373" s="85"/>
      <c r="J373" s="113"/>
    </row>
    <row r="374" spans="1:10">
      <c r="A374" s="95"/>
      <c r="B374" s="115"/>
      <c r="G374" s="85"/>
      <c r="J374" s="113"/>
    </row>
    <row r="375" spans="1:10">
      <c r="A375" s="95"/>
      <c r="B375" s="115"/>
      <c r="G375" s="85"/>
      <c r="J375" s="113"/>
    </row>
    <row r="376" spans="1:10">
      <c r="A376" s="95"/>
      <c r="B376" s="115"/>
      <c r="G376" s="85"/>
      <c r="J376" s="113"/>
    </row>
    <row r="377" spans="1:10">
      <c r="A377" s="95"/>
      <c r="B377" s="115"/>
      <c r="G377" s="85"/>
      <c r="J377" s="113"/>
    </row>
    <row r="378" spans="1:10">
      <c r="A378" s="95"/>
      <c r="B378" s="115"/>
      <c r="G378" s="85"/>
      <c r="J378" s="113"/>
    </row>
    <row r="379" spans="1:10">
      <c r="A379" s="95"/>
      <c r="B379" s="115"/>
      <c r="G379" s="85"/>
      <c r="J379" s="113"/>
    </row>
    <row r="380" spans="1:10">
      <c r="A380" s="95"/>
      <c r="B380" s="115"/>
      <c r="G380" s="85"/>
      <c r="J380" s="113"/>
    </row>
    <row r="381" spans="1:10">
      <c r="A381" s="95"/>
      <c r="B381" s="115"/>
      <c r="G381" s="85"/>
      <c r="J381" s="113"/>
    </row>
    <row r="382" spans="1:10">
      <c r="A382" s="95"/>
      <c r="B382" s="115"/>
      <c r="G382" s="85"/>
      <c r="J382" s="113"/>
    </row>
    <row r="383" spans="1:10">
      <c r="A383" s="95"/>
      <c r="B383" s="115"/>
      <c r="G383" s="85"/>
      <c r="J383" s="113"/>
    </row>
    <row r="384" spans="1:10">
      <c r="A384" s="95"/>
      <c r="B384" s="115"/>
      <c r="G384" s="85"/>
      <c r="J384" s="113"/>
    </row>
    <row r="385" spans="1:10">
      <c r="A385" s="95"/>
      <c r="B385" s="115"/>
      <c r="G385" s="85"/>
      <c r="J385" s="113"/>
    </row>
    <row r="386" spans="1:10">
      <c r="A386" s="95"/>
      <c r="B386" s="115"/>
      <c r="G386" s="85"/>
      <c r="J386" s="113"/>
    </row>
    <row r="387" spans="1:10">
      <c r="A387" s="95"/>
      <c r="B387" s="115"/>
      <c r="G387" s="85"/>
      <c r="J387" s="113"/>
    </row>
    <row r="388" spans="1:10">
      <c r="A388" s="95"/>
      <c r="B388" s="115"/>
      <c r="G388" s="85"/>
      <c r="J388" s="113"/>
    </row>
    <row r="389" spans="1:10">
      <c r="A389" s="95"/>
      <c r="B389" s="115"/>
      <c r="G389" s="85"/>
      <c r="J389" s="113"/>
    </row>
    <row r="390" spans="1:10">
      <c r="A390" s="95"/>
      <c r="B390" s="115"/>
      <c r="G390" s="85"/>
      <c r="J390" s="113"/>
    </row>
    <row r="391" spans="1:10">
      <c r="A391" s="95"/>
      <c r="B391" s="115"/>
      <c r="G391" s="85"/>
      <c r="J391" s="113"/>
    </row>
    <row r="392" spans="1:10">
      <c r="A392" s="95"/>
      <c r="B392" s="115"/>
      <c r="G392" s="85"/>
      <c r="J392" s="113"/>
    </row>
    <row r="393" spans="1:10">
      <c r="A393" s="95"/>
      <c r="B393" s="115"/>
      <c r="G393" s="85"/>
      <c r="J393" s="113"/>
    </row>
    <row r="394" spans="1:10">
      <c r="A394" s="95"/>
      <c r="B394" s="115"/>
      <c r="G394" s="85"/>
      <c r="J394" s="113"/>
    </row>
    <row r="395" spans="1:10">
      <c r="A395" s="95"/>
      <c r="B395" s="115"/>
      <c r="G395" s="85"/>
      <c r="J395" s="113"/>
    </row>
    <row r="396" spans="1:10">
      <c r="A396" s="95"/>
      <c r="B396" s="115"/>
      <c r="G396" s="85"/>
      <c r="J396" s="113"/>
    </row>
    <row r="397" spans="1:10">
      <c r="A397" s="95"/>
      <c r="B397" s="115"/>
      <c r="G397" s="85"/>
      <c r="J397" s="113"/>
    </row>
    <row r="398" spans="1:10">
      <c r="A398" s="95"/>
      <c r="B398" s="115"/>
      <c r="G398" s="85"/>
      <c r="J398" s="113"/>
    </row>
    <row r="399" spans="1:10">
      <c r="A399" s="95"/>
      <c r="B399" s="115"/>
      <c r="G399" s="85"/>
      <c r="J399" s="113"/>
    </row>
    <row r="400" spans="1:10">
      <c r="A400" s="95"/>
      <c r="B400" s="115"/>
      <c r="G400" s="85"/>
      <c r="J400" s="113"/>
    </row>
    <row r="401" spans="1:10">
      <c r="A401" s="95"/>
      <c r="B401" s="115"/>
      <c r="G401" s="85"/>
      <c r="J401" s="113"/>
    </row>
    <row r="402" spans="1:10">
      <c r="A402" s="95"/>
      <c r="B402" s="115"/>
      <c r="G402" s="85"/>
      <c r="J402" s="113"/>
    </row>
    <row r="403" spans="1:10">
      <c r="A403" s="95"/>
      <c r="B403" s="115"/>
      <c r="G403" s="85"/>
      <c r="J403" s="113"/>
    </row>
    <row r="404" spans="1:10">
      <c r="A404" s="95"/>
      <c r="B404" s="115"/>
      <c r="G404" s="85"/>
      <c r="J404" s="113"/>
    </row>
    <row r="405" spans="1:10">
      <c r="A405" s="95"/>
      <c r="B405" s="115"/>
      <c r="G405" s="85"/>
      <c r="J405" s="113"/>
    </row>
    <row r="406" spans="1:10">
      <c r="A406" s="95"/>
      <c r="B406" s="115"/>
      <c r="G406" s="85"/>
      <c r="J406" s="113"/>
    </row>
    <row r="407" spans="1:10">
      <c r="A407" s="95"/>
      <c r="B407" s="115"/>
      <c r="G407" s="85"/>
      <c r="J407" s="113"/>
    </row>
    <row r="408" spans="1:10">
      <c r="A408" s="95"/>
      <c r="B408" s="115"/>
      <c r="G408" s="85"/>
      <c r="J408" s="113"/>
    </row>
    <row r="409" spans="1:10">
      <c r="A409" s="95"/>
      <c r="B409" s="115"/>
      <c r="G409" s="85"/>
      <c r="J409" s="113"/>
    </row>
    <row r="410" spans="1:10">
      <c r="A410" s="95"/>
      <c r="B410" s="115"/>
      <c r="G410" s="85"/>
      <c r="J410" s="113"/>
    </row>
    <row r="411" spans="1:10">
      <c r="A411" s="95"/>
      <c r="B411" s="115"/>
      <c r="G411" s="85"/>
      <c r="J411" s="113"/>
    </row>
    <row r="412" spans="1:10">
      <c r="A412" s="95"/>
      <c r="B412" s="115"/>
      <c r="G412" s="85"/>
      <c r="J412" s="113"/>
    </row>
    <row r="413" spans="1:10">
      <c r="A413" s="95"/>
      <c r="B413" s="115"/>
      <c r="G413" s="85"/>
      <c r="J413" s="113"/>
    </row>
    <row r="414" spans="1:10">
      <c r="A414" s="95"/>
      <c r="B414" s="115"/>
      <c r="G414" s="85"/>
      <c r="J414" s="113"/>
    </row>
    <row r="415" spans="1:10">
      <c r="A415" s="95"/>
      <c r="B415" s="115"/>
      <c r="G415" s="85"/>
      <c r="J415" s="113"/>
    </row>
    <row r="416" spans="1:10">
      <c r="A416" s="95"/>
      <c r="B416" s="115"/>
      <c r="G416" s="85"/>
      <c r="J416" s="113"/>
    </row>
    <row r="417" spans="1:10">
      <c r="A417" s="95"/>
      <c r="B417" s="115"/>
      <c r="G417" s="85"/>
      <c r="J417" s="113"/>
    </row>
    <row r="418" spans="1:10">
      <c r="A418" s="95"/>
      <c r="B418" s="115"/>
      <c r="G418" s="85"/>
      <c r="J418" s="113"/>
    </row>
    <row r="419" spans="1:10">
      <c r="A419" s="95"/>
      <c r="B419" s="115"/>
      <c r="G419" s="85"/>
      <c r="J419" s="113"/>
    </row>
  </sheetData>
  <phoneticPr fontId="29" type="noConversion"/>
  <pageMargins left="0.75" right="0.75" top="1" bottom="1" header="0.5" footer="0.5"/>
  <pageSetup paperSize="9" orientation="portrait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zoomScale="90" zoomScaleNormal="90" workbookViewId="0">
      <selection activeCell="V25" sqref="V25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9"/>
  <sheetViews>
    <sheetView topLeftCell="A34" zoomScale="70" zoomScaleNormal="70" workbookViewId="0">
      <selection activeCell="U49" sqref="U49"/>
    </sheetView>
  </sheetViews>
  <sheetFormatPr defaultRowHeight="18"/>
  <cols>
    <col min="1" max="1" width="10.6640625" bestFit="1" customWidth="1"/>
    <col min="2" max="2" width="18.33203125" style="126" bestFit="1" customWidth="1"/>
    <col min="3" max="3" width="15.44140625" style="102" customWidth="1"/>
  </cols>
  <sheetData>
    <row r="1" spans="1:5">
      <c r="B1" s="82" t="s">
        <v>191</v>
      </c>
      <c r="C1" s="85" t="s">
        <v>7</v>
      </c>
      <c r="D1" s="82" t="s">
        <v>192</v>
      </c>
      <c r="E1" s="85" t="s">
        <v>193</v>
      </c>
    </row>
    <row r="2" spans="1:5">
      <c r="A2" s="118" t="s">
        <v>194</v>
      </c>
      <c r="B2" s="131">
        <f>Model!C11</f>
        <v>65000</v>
      </c>
      <c r="C2" s="85">
        <f>Model!G11</f>
        <v>139625.4976077505</v>
      </c>
    </row>
    <row r="3" spans="1:5">
      <c r="A3" s="118" t="s">
        <v>128</v>
      </c>
      <c r="B3" s="131">
        <f>Model!C12</f>
        <v>53139</v>
      </c>
      <c r="C3" s="85">
        <f>Model!G12</f>
        <v>73288.09550402053</v>
      </c>
      <c r="D3" s="130">
        <f>(B3-B2)/B2</f>
        <v>-0.18247692307692306</v>
      </c>
      <c r="E3" s="49">
        <f>(C3-C2)/C2</f>
        <v>-0.47510951251963618</v>
      </c>
    </row>
    <row r="4" spans="1:5">
      <c r="A4" s="118" t="s">
        <v>168</v>
      </c>
      <c r="B4" s="131">
        <f>Model!C13</f>
        <v>56222</v>
      </c>
      <c r="C4" s="85">
        <f>Model!G13</f>
        <v>54211.532358083066</v>
      </c>
      <c r="D4" s="130">
        <f t="shared" ref="D4:D46" si="0">(B4-B3)/B3</f>
        <v>5.8017651818814804E-2</v>
      </c>
      <c r="E4" s="49">
        <f t="shared" ref="E4:E48" si="1">(C4-C3)/C3</f>
        <v>-0.26029552295967273</v>
      </c>
    </row>
    <row r="5" spans="1:5">
      <c r="A5" s="118" t="s">
        <v>129</v>
      </c>
      <c r="B5" s="131">
        <f>Model!C14</f>
        <v>48264</v>
      </c>
      <c r="C5" s="85">
        <f>Model!G14</f>
        <v>59232.482587372928</v>
      </c>
      <c r="D5" s="130">
        <f t="shared" si="0"/>
        <v>-0.14154601401586567</v>
      </c>
      <c r="E5" s="49">
        <f t="shared" si="1"/>
        <v>9.2617751443088037E-2</v>
      </c>
    </row>
    <row r="6" spans="1:5">
      <c r="A6" s="118" t="s">
        <v>130</v>
      </c>
      <c r="B6" s="131">
        <f>Model!C15</f>
        <v>57200</v>
      </c>
      <c r="C6" s="85">
        <f>Model!G15</f>
        <v>56802.19742309166</v>
      </c>
      <c r="D6" s="130">
        <f t="shared" si="0"/>
        <v>0.18514835073760982</v>
      </c>
      <c r="E6" s="49">
        <f t="shared" si="1"/>
        <v>-4.1029601632793143E-2</v>
      </c>
    </row>
    <row r="7" spans="1:5">
      <c r="A7" s="118" t="s">
        <v>131</v>
      </c>
      <c r="B7" s="131">
        <f>Model!C16</f>
        <v>49589</v>
      </c>
      <c r="C7" s="85">
        <f>Model!G16</f>
        <v>56135.030129418628</v>
      </c>
      <c r="D7" s="130">
        <f t="shared" si="0"/>
        <v>-0.13305944055944055</v>
      </c>
      <c r="E7" s="49">
        <f t="shared" si="1"/>
        <v>-1.1745448661142993E-2</v>
      </c>
    </row>
    <row r="8" spans="1:5">
      <c r="A8" s="118" t="s">
        <v>132</v>
      </c>
      <c r="B8" s="131">
        <f>Model!C17</f>
        <v>49589</v>
      </c>
      <c r="C8" s="85">
        <f>Model!G17</f>
        <v>49019.463670147561</v>
      </c>
      <c r="D8" s="130">
        <f t="shared" si="0"/>
        <v>0</v>
      </c>
      <c r="E8" s="49">
        <f t="shared" si="1"/>
        <v>-0.12675804115302361</v>
      </c>
    </row>
    <row r="9" spans="1:5">
      <c r="A9" s="118" t="s">
        <v>133</v>
      </c>
      <c r="B9" s="131">
        <f>Model!C18</f>
        <v>60731.5</v>
      </c>
      <c r="C9" s="85">
        <f>Model!G18</f>
        <v>52243.882107404941</v>
      </c>
      <c r="D9" s="130">
        <f t="shared" si="0"/>
        <v>0.22469700941741111</v>
      </c>
      <c r="E9" s="49">
        <f t="shared" si="1"/>
        <v>6.5778329582602588E-2</v>
      </c>
    </row>
    <row r="10" spans="1:5">
      <c r="A10" s="118" t="s">
        <v>134</v>
      </c>
      <c r="B10" s="131">
        <f>Model!C19</f>
        <v>60731.5</v>
      </c>
      <c r="C10" s="85">
        <f>Model!G19</f>
        <v>67851.869404217374</v>
      </c>
      <c r="D10" s="130">
        <f t="shared" si="0"/>
        <v>0</v>
      </c>
      <c r="E10" s="49">
        <f t="shared" si="1"/>
        <v>0.29875244080684787</v>
      </c>
    </row>
    <row r="11" spans="1:5">
      <c r="A11" s="118" t="s">
        <v>135</v>
      </c>
      <c r="B11" s="131">
        <f>Model!C20</f>
        <v>55177.2</v>
      </c>
      <c r="C11" s="85">
        <f>Model!G20</f>
        <v>60302.634094956025</v>
      </c>
      <c r="D11" s="130">
        <f t="shared" si="0"/>
        <v>-9.1456657582967699E-2</v>
      </c>
      <c r="E11" s="49">
        <f t="shared" si="1"/>
        <v>-0.11126053527409697</v>
      </c>
    </row>
    <row r="12" spans="1:5">
      <c r="A12" s="118" t="s">
        <v>136</v>
      </c>
      <c r="B12" s="131">
        <f>Model!C21</f>
        <v>39168</v>
      </c>
      <c r="C12" s="85">
        <f>Model!G21</f>
        <v>54081.235810035374</v>
      </c>
      <c r="D12" s="130">
        <f t="shared" si="0"/>
        <v>-0.29014158021791608</v>
      </c>
      <c r="E12" s="49">
        <f t="shared" si="1"/>
        <v>-0.10316959413620434</v>
      </c>
    </row>
    <row r="13" spans="1:5">
      <c r="A13" s="118" t="s">
        <v>137</v>
      </c>
      <c r="B13" s="131">
        <f>Model!C22</f>
        <v>58366</v>
      </c>
      <c r="C13" s="85">
        <f>Model!G22</f>
        <v>43375.229158669157</v>
      </c>
      <c r="D13" s="130">
        <f t="shared" si="0"/>
        <v>0.49014501633986929</v>
      </c>
      <c r="E13" s="49">
        <f t="shared" si="1"/>
        <v>-0.19796157560030458</v>
      </c>
    </row>
    <row r="14" spans="1:5">
      <c r="A14" s="118" t="s">
        <v>138</v>
      </c>
      <c r="B14" s="131">
        <f>Model!C23</f>
        <v>59850</v>
      </c>
      <c r="C14" s="85">
        <f>Model!G23</f>
        <v>63938.242298545047</v>
      </c>
      <c r="D14" s="130">
        <f t="shared" si="0"/>
        <v>2.5425761573518828E-2</v>
      </c>
      <c r="E14" s="49">
        <f t="shared" si="1"/>
        <v>0.47407272627091307</v>
      </c>
    </row>
    <row r="15" spans="1:5">
      <c r="A15" s="118" t="s">
        <v>139</v>
      </c>
      <c r="B15" s="131">
        <f>Model!C24</f>
        <v>59850</v>
      </c>
      <c r="C15" s="85">
        <f>Model!G24</f>
        <v>58906.287870696564</v>
      </c>
      <c r="D15" s="130">
        <f t="shared" si="0"/>
        <v>0</v>
      </c>
      <c r="E15" s="49">
        <f t="shared" si="1"/>
        <v>-7.870023083138443E-2</v>
      </c>
    </row>
    <row r="16" spans="1:5">
      <c r="A16" s="118" t="s">
        <v>140</v>
      </c>
      <c r="B16" s="131">
        <f>Model!C25</f>
        <v>47668</v>
      </c>
      <c r="C16" s="85">
        <f>Model!G25</f>
        <v>57559.209479904443</v>
      </c>
      <c r="D16" s="130">
        <f t="shared" si="0"/>
        <v>-0.20354218880534669</v>
      </c>
      <c r="E16" s="49">
        <f t="shared" si="1"/>
        <v>-2.2868159571505387E-2</v>
      </c>
    </row>
    <row r="17" spans="1:5">
      <c r="A17" s="118" t="s">
        <v>141</v>
      </c>
      <c r="B17" s="131">
        <f>Model!C26</f>
        <v>33192</v>
      </c>
      <c r="C17" s="85">
        <f>Model!G26</f>
        <v>51599.803596140227</v>
      </c>
      <c r="D17" s="130">
        <f t="shared" si="0"/>
        <v>-0.30368381304019471</v>
      </c>
      <c r="E17" s="49">
        <f t="shared" si="1"/>
        <v>-0.10353522811748854</v>
      </c>
    </row>
    <row r="18" spans="1:5">
      <c r="A18" s="118" t="s">
        <v>142</v>
      </c>
      <c r="B18" s="131">
        <f>Model!C27</f>
        <v>55930.46</v>
      </c>
      <c r="C18" s="85">
        <f>Model!G27</f>
        <v>40315.821720977088</v>
      </c>
      <c r="D18" s="130">
        <f t="shared" si="0"/>
        <v>0.68505844781875147</v>
      </c>
      <c r="E18" s="49">
        <f t="shared" si="1"/>
        <v>-0.21868265165271297</v>
      </c>
    </row>
    <row r="19" spans="1:5">
      <c r="A19" s="118" t="s">
        <v>143</v>
      </c>
      <c r="B19" s="131">
        <f>Model!C28</f>
        <v>51307.199999999997</v>
      </c>
      <c r="C19" s="85">
        <f>Model!G28</f>
        <v>52459.327991440638</v>
      </c>
      <c r="D19" s="130">
        <f t="shared" si="0"/>
        <v>-8.2660861362484808E-2</v>
      </c>
      <c r="E19" s="49">
        <f t="shared" si="1"/>
        <v>0.3012094446321319</v>
      </c>
    </row>
    <row r="20" spans="1:5">
      <c r="A20" s="118" t="s">
        <v>144</v>
      </c>
      <c r="B20" s="131">
        <f>Model!C29</f>
        <v>56310</v>
      </c>
      <c r="C20" s="85">
        <f>Model!G29</f>
        <v>49445.538082770647</v>
      </c>
      <c r="D20" s="130">
        <f t="shared" si="0"/>
        <v>9.750678267377684E-2</v>
      </c>
      <c r="E20" s="49">
        <f t="shared" si="1"/>
        <v>-5.7450028890223805E-2</v>
      </c>
    </row>
    <row r="21" spans="1:5">
      <c r="A21" s="118" t="s">
        <v>169</v>
      </c>
      <c r="B21" s="131">
        <f>Model!C30</f>
        <v>48218</v>
      </c>
      <c r="C21" s="85">
        <f>Model!G30</f>
        <v>58103.767416024304</v>
      </c>
      <c r="D21" s="130">
        <f t="shared" si="0"/>
        <v>-0.14370449298526017</v>
      </c>
      <c r="E21" s="49">
        <f t="shared" si="1"/>
        <v>0.17510638308273618</v>
      </c>
    </row>
    <row r="22" spans="1:5">
      <c r="A22" s="118" t="s">
        <v>170</v>
      </c>
      <c r="B22" s="131">
        <f>Model!C31</f>
        <v>59847</v>
      </c>
      <c r="C22" s="85">
        <f>Model!G31</f>
        <v>56076.369215445302</v>
      </c>
      <c r="D22" s="130">
        <f t="shared" si="0"/>
        <v>0.24117549462856194</v>
      </c>
      <c r="E22" s="49">
        <f t="shared" si="1"/>
        <v>-3.4892715063771763E-2</v>
      </c>
    </row>
    <row r="23" spans="1:5">
      <c r="A23" s="118" t="s">
        <v>145</v>
      </c>
      <c r="B23" s="131">
        <f>Model!C32</f>
        <v>70000</v>
      </c>
      <c r="C23" s="85">
        <f>Model!G32</f>
        <v>57545.65627504421</v>
      </c>
      <c r="D23" s="130">
        <f t="shared" si="0"/>
        <v>0.16964927231105986</v>
      </c>
      <c r="E23" s="49">
        <f t="shared" si="1"/>
        <v>2.620153694248481E-2</v>
      </c>
    </row>
    <row r="24" spans="1:5">
      <c r="A24" s="118" t="s">
        <v>146</v>
      </c>
      <c r="B24" s="131">
        <f>Model!C33</f>
        <v>65136</v>
      </c>
      <c r="C24" s="85">
        <f>Model!G33</f>
        <v>65555.2220611417</v>
      </c>
      <c r="D24" s="130">
        <f t="shared" si="0"/>
        <v>-6.948571428571429E-2</v>
      </c>
      <c r="E24" s="49">
        <f t="shared" si="1"/>
        <v>0.13918627928779037</v>
      </c>
    </row>
    <row r="25" spans="1:5">
      <c r="A25" s="118" t="s">
        <v>147</v>
      </c>
      <c r="B25" s="131">
        <f>Model!C34</f>
        <v>96390</v>
      </c>
      <c r="C25" s="85">
        <f>Model!G34</f>
        <v>68089.034080277488</v>
      </c>
      <c r="D25" s="130">
        <f t="shared" si="0"/>
        <v>0.47982682387619752</v>
      </c>
      <c r="E25" s="49">
        <f t="shared" si="1"/>
        <v>3.8651566411788921E-2</v>
      </c>
    </row>
    <row r="26" spans="1:5">
      <c r="A26" s="118" t="s">
        <v>148</v>
      </c>
      <c r="B26" s="131">
        <f>Model!C35</f>
        <v>88667</v>
      </c>
      <c r="C26" s="85">
        <f>Model!G35</f>
        <v>104806.93450032307</v>
      </c>
      <c r="D26" s="130">
        <f t="shared" si="0"/>
        <v>-8.0122419338105613E-2</v>
      </c>
      <c r="E26" s="49">
        <f t="shared" si="1"/>
        <v>0.53926305338323499</v>
      </c>
    </row>
    <row r="27" spans="1:5">
      <c r="A27" s="118" t="s">
        <v>149</v>
      </c>
      <c r="B27" s="131">
        <f>Model!C36</f>
        <v>85000</v>
      </c>
      <c r="C27" s="85">
        <f>Model!G36</f>
        <v>87911.206038986711</v>
      </c>
      <c r="D27" s="130">
        <f t="shared" si="0"/>
        <v>-4.135698737974669E-2</v>
      </c>
      <c r="E27" s="49">
        <f t="shared" si="1"/>
        <v>-0.16120811606491819</v>
      </c>
    </row>
    <row r="28" spans="1:5">
      <c r="A28" s="118" t="s">
        <v>150</v>
      </c>
      <c r="B28" s="131">
        <f>Model!C37</f>
        <v>70200</v>
      </c>
      <c r="C28" s="85">
        <f>Model!G37</f>
        <v>81632.954682273223</v>
      </c>
      <c r="D28" s="130">
        <f t="shared" si="0"/>
        <v>-0.17411764705882352</v>
      </c>
      <c r="E28" s="49">
        <f t="shared" si="1"/>
        <v>-7.1415825576653102E-2</v>
      </c>
    </row>
    <row r="29" spans="1:5">
      <c r="A29" s="118" t="s">
        <v>151</v>
      </c>
      <c r="B29" s="131">
        <f>Model!C38</f>
        <v>87356</v>
      </c>
      <c r="C29" s="85">
        <f>Model!G38</f>
        <v>74868.272093647014</v>
      </c>
      <c r="D29" s="130">
        <f t="shared" si="0"/>
        <v>0.24438746438746439</v>
      </c>
      <c r="E29" s="49">
        <f t="shared" si="1"/>
        <v>-8.2867055528680678E-2</v>
      </c>
    </row>
    <row r="30" spans="1:5">
      <c r="A30" s="118" t="s">
        <v>152</v>
      </c>
      <c r="B30" s="131">
        <f>Model!C39</f>
        <v>80000</v>
      </c>
      <c r="C30" s="85">
        <f>Model!G39</f>
        <v>96491.91579880286</v>
      </c>
      <c r="D30" s="130">
        <f t="shared" si="0"/>
        <v>-8.4207152342140212E-2</v>
      </c>
      <c r="E30" s="49">
        <f t="shared" si="1"/>
        <v>0.28882252922985158</v>
      </c>
    </row>
    <row r="31" spans="1:5">
      <c r="A31" s="118" t="s">
        <v>153</v>
      </c>
      <c r="B31" s="131">
        <f>Model!C40</f>
        <v>89510</v>
      </c>
      <c r="C31" s="85">
        <f>Model!G40</f>
        <v>79454.080606444506</v>
      </c>
      <c r="D31" s="130">
        <f t="shared" si="0"/>
        <v>0.11887499999999999</v>
      </c>
      <c r="E31" s="49">
        <f t="shared" si="1"/>
        <v>-0.17657266985852235</v>
      </c>
    </row>
    <row r="32" spans="1:5">
      <c r="A32" s="118" t="s">
        <v>154</v>
      </c>
      <c r="B32" s="131">
        <f>Model!C41</f>
        <v>81839</v>
      </c>
      <c r="C32" s="85">
        <f>Model!G41</f>
        <v>84092.604057454446</v>
      </c>
      <c r="D32" s="130">
        <f t="shared" si="0"/>
        <v>-8.5699921796447323E-2</v>
      </c>
      <c r="E32" s="49">
        <f t="shared" si="1"/>
        <v>5.8379927319097441E-2</v>
      </c>
    </row>
    <row r="33" spans="1:5">
      <c r="A33" s="118" t="s">
        <v>155</v>
      </c>
      <c r="B33" s="131">
        <f>Model!C42</f>
        <v>76488</v>
      </c>
      <c r="C33" s="85">
        <f>Model!G42</f>
        <v>85774.514072804435</v>
      </c>
      <c r="D33" s="130">
        <f t="shared" si="0"/>
        <v>-6.5384474394848416E-2</v>
      </c>
      <c r="E33" s="49">
        <f t="shared" si="1"/>
        <v>2.0000688933367563E-2</v>
      </c>
    </row>
    <row r="34" spans="1:5">
      <c r="A34" s="118" t="s">
        <v>171</v>
      </c>
      <c r="B34" s="131">
        <f>Model!C43</f>
        <v>92900</v>
      </c>
      <c r="C34" s="85">
        <f>Model!G43</f>
        <v>87135.001942095987</v>
      </c>
      <c r="D34" s="130">
        <f t="shared" si="0"/>
        <v>0.2145696056897814</v>
      </c>
      <c r="E34" s="49">
        <f t="shared" si="1"/>
        <v>1.5861213368539576E-2</v>
      </c>
    </row>
    <row r="35" spans="1:5">
      <c r="A35" s="118" t="s">
        <v>156</v>
      </c>
      <c r="B35" s="131">
        <f>Model!C44</f>
        <v>95000</v>
      </c>
      <c r="C35" s="85">
        <f>Model!G44</f>
        <v>89116.194577645147</v>
      </c>
      <c r="D35" s="130">
        <f t="shared" si="0"/>
        <v>2.2604951560818085E-2</v>
      </c>
      <c r="E35" s="49">
        <f t="shared" si="1"/>
        <v>2.2737047012011614E-2</v>
      </c>
    </row>
    <row r="36" spans="1:5">
      <c r="A36" s="118" t="s">
        <v>157</v>
      </c>
      <c r="B36" s="131">
        <f>Model!C45</f>
        <v>90628</v>
      </c>
      <c r="C36" s="85">
        <f>Model!G45</f>
        <v>89654.768944449039</v>
      </c>
      <c r="D36" s="130">
        <f t="shared" si="0"/>
        <v>-4.6021052631578949E-2</v>
      </c>
      <c r="E36" s="49">
        <f t="shared" si="1"/>
        <v>6.0435072363266501E-3</v>
      </c>
    </row>
    <row r="37" spans="1:5">
      <c r="A37" s="118" t="s">
        <v>158</v>
      </c>
      <c r="B37" s="131">
        <f>Model!C46</f>
        <v>85438</v>
      </c>
      <c r="C37" s="85">
        <f>Model!G46</f>
        <v>94339.770607177095</v>
      </c>
      <c r="D37" s="130">
        <f t="shared" si="0"/>
        <v>-5.7267069779759018E-2</v>
      </c>
      <c r="E37" s="49">
        <f t="shared" si="1"/>
        <v>5.2256022940965124E-2</v>
      </c>
    </row>
    <row r="38" spans="1:5">
      <c r="A38" s="118" t="s">
        <v>159</v>
      </c>
      <c r="B38" s="131">
        <f>Model!C47</f>
        <v>80000</v>
      </c>
      <c r="C38" s="85">
        <f>Model!G47</f>
        <v>97097.10664603734</v>
      </c>
      <c r="D38" s="130">
        <f t="shared" si="0"/>
        <v>-6.3648493644514151E-2</v>
      </c>
      <c r="E38" s="49">
        <f t="shared" si="1"/>
        <v>2.9227716170114101E-2</v>
      </c>
    </row>
    <row r="39" spans="1:5">
      <c r="A39" s="118" t="s">
        <v>160</v>
      </c>
      <c r="B39" s="131">
        <f>Model!C48</f>
        <v>90000</v>
      </c>
      <c r="C39" s="85">
        <f>Model!G48</f>
        <v>79367.30150160777</v>
      </c>
      <c r="D39" s="130">
        <f t="shared" si="0"/>
        <v>0.125</v>
      </c>
      <c r="E39" s="49">
        <f t="shared" si="1"/>
        <v>-0.18259869688046104</v>
      </c>
    </row>
    <row r="40" spans="1:5">
      <c r="A40" s="118" t="s">
        <v>161</v>
      </c>
      <c r="B40" s="131">
        <f>Model!C49</f>
        <v>112000</v>
      </c>
      <c r="C40" s="85">
        <f>Model!G49</f>
        <v>84108.194389707292</v>
      </c>
      <c r="D40" s="130">
        <f t="shared" si="0"/>
        <v>0.24444444444444444</v>
      </c>
      <c r="E40" s="49">
        <f t="shared" si="1"/>
        <v>5.9733577914369243E-2</v>
      </c>
    </row>
    <row r="41" spans="1:5">
      <c r="A41" s="118" t="s">
        <v>162</v>
      </c>
      <c r="B41" s="131">
        <f>Model!C50</f>
        <v>95000</v>
      </c>
      <c r="C41" s="85">
        <f>Model!G50</f>
        <v>112781.3159850369</v>
      </c>
      <c r="D41" s="130">
        <f t="shared" si="0"/>
        <v>-0.15178571428571427</v>
      </c>
      <c r="E41" s="49">
        <f t="shared" si="1"/>
        <v>0.3409075869882004</v>
      </c>
    </row>
    <row r="42" spans="1:5">
      <c r="A42" s="118" t="s">
        <v>163</v>
      </c>
      <c r="B42" s="131">
        <f>Model!C51</f>
        <v>85000</v>
      </c>
      <c r="C42" s="85">
        <f>Model!G51</f>
        <v>108980.67964389577</v>
      </c>
      <c r="D42" s="130">
        <f t="shared" si="0"/>
        <v>-0.10526315789473684</v>
      </c>
      <c r="E42" s="49">
        <f t="shared" si="1"/>
        <v>-3.3699166461627149E-2</v>
      </c>
    </row>
    <row r="43" spans="1:5">
      <c r="A43" s="118" t="s">
        <v>164</v>
      </c>
      <c r="B43" s="131">
        <f>Model!C52</f>
        <v>90000</v>
      </c>
      <c r="C43" s="85">
        <f>Model!G52</f>
        <v>85124.468424979845</v>
      </c>
      <c r="D43" s="130">
        <f t="shared" si="0"/>
        <v>5.8823529411764705E-2</v>
      </c>
      <c r="E43" s="49">
        <f t="shared" si="1"/>
        <v>-0.21890312390111946</v>
      </c>
    </row>
    <row r="44" spans="1:5">
      <c r="A44" s="118" t="s">
        <v>165</v>
      </c>
      <c r="B44" s="131">
        <f>Model!C53</f>
        <v>90000</v>
      </c>
      <c r="C44" s="85">
        <f>Model!G53</f>
        <v>84763.424706521007</v>
      </c>
      <c r="D44" s="130">
        <f t="shared" si="0"/>
        <v>0</v>
      </c>
      <c r="E44" s="49">
        <f t="shared" si="1"/>
        <v>-4.2413623854464936E-3</v>
      </c>
    </row>
    <row r="45" spans="1:5">
      <c r="A45" s="118" t="s">
        <v>166</v>
      </c>
      <c r="B45" s="131">
        <f>Model!C54</f>
        <v>95000</v>
      </c>
      <c r="C45" s="85">
        <f>Model!G54</f>
        <v>92509.961804918115</v>
      </c>
      <c r="D45" s="130">
        <f t="shared" si="0"/>
        <v>5.5555555555555552E-2</v>
      </c>
      <c r="E45" s="49">
        <f t="shared" si="1"/>
        <v>9.1390091011756311E-2</v>
      </c>
    </row>
    <row r="46" spans="1:5">
      <c r="A46" s="118" t="s">
        <v>167</v>
      </c>
      <c r="B46" s="131">
        <f>Model!C55</f>
        <v>131500</v>
      </c>
      <c r="C46" s="85">
        <f>Model!G55</f>
        <v>105758.18685535407</v>
      </c>
      <c r="D46" s="130">
        <f t="shared" si="0"/>
        <v>0.38421052631578945</v>
      </c>
      <c r="E46" s="49">
        <f t="shared" si="1"/>
        <v>0.14320863171874793</v>
      </c>
    </row>
    <row r="47" spans="1:5">
      <c r="A47" s="118" t="s">
        <v>172</v>
      </c>
      <c r="B47" s="129"/>
      <c r="C47" s="85">
        <f>Model!G56</f>
        <v>124089.68912390835</v>
      </c>
      <c r="D47" s="129"/>
      <c r="E47" s="49">
        <f t="shared" si="1"/>
        <v>0.17333412016250196</v>
      </c>
    </row>
    <row r="48" spans="1:5">
      <c r="A48" s="118" t="s">
        <v>173</v>
      </c>
      <c r="B48" s="129"/>
      <c r="C48" s="85">
        <f>Model!G57</f>
        <v>117853.21292653083</v>
      </c>
      <c r="D48" s="129"/>
      <c r="E48" s="49">
        <f t="shared" si="1"/>
        <v>-5.0257811437904032E-2</v>
      </c>
    </row>
    <row r="49" spans="1:5">
      <c r="A49" s="118" t="s">
        <v>174</v>
      </c>
      <c r="B49" s="129"/>
      <c r="C49" s="85">
        <f>Model!G58</f>
        <v>122141.68430246037</v>
      </c>
      <c r="D49" s="129"/>
      <c r="E49" s="49">
        <f>(C49-C48)/C48</f>
        <v>3.6388243217458607E-2</v>
      </c>
    </row>
    <row r="50" spans="1:5">
      <c r="A50" s="118" t="s">
        <v>175</v>
      </c>
      <c r="B50" s="129"/>
      <c r="C50" s="85">
        <f>Model!G59</f>
        <v>136651.83020687226</v>
      </c>
      <c r="D50" s="129"/>
      <c r="E50" s="49">
        <f>(C50-C49)/C49</f>
        <v>0.11879765689557954</v>
      </c>
    </row>
    <row r="63" spans="1:5">
      <c r="B63" s="127"/>
      <c r="C63" s="85"/>
    </row>
    <row r="64" spans="1:5">
      <c r="B64" s="127"/>
      <c r="C64" s="85"/>
    </row>
    <row r="65" spans="2:3">
      <c r="B65" s="127"/>
      <c r="C65" s="85"/>
    </row>
    <row r="66" spans="2:3">
      <c r="B66" s="127"/>
      <c r="C66" s="85"/>
    </row>
    <row r="67" spans="2:3">
      <c r="B67" s="128"/>
      <c r="C67" s="85"/>
    </row>
    <row r="68" spans="2:3">
      <c r="B68" s="128"/>
      <c r="C68" s="85"/>
    </row>
    <row r="69" spans="2:3">
      <c r="B69" s="128"/>
      <c r="C69" s="85"/>
    </row>
    <row r="70" spans="2:3">
      <c r="C70" s="85"/>
    </row>
    <row r="71" spans="2:3">
      <c r="C71" s="85"/>
    </row>
    <row r="72" spans="2:3">
      <c r="C72" s="85"/>
    </row>
    <row r="73" spans="2:3">
      <c r="C73" s="85"/>
    </row>
    <row r="74" spans="2:3">
      <c r="C74" s="85"/>
    </row>
    <row r="75" spans="2:3">
      <c r="C75" s="85"/>
    </row>
    <row r="76" spans="2:3">
      <c r="C76" s="85"/>
    </row>
    <row r="77" spans="2:3">
      <c r="C77" s="85"/>
    </row>
    <row r="78" spans="2:3">
      <c r="C78" s="85"/>
    </row>
    <row r="79" spans="2:3">
      <c r="C79" s="85"/>
    </row>
    <row r="80" spans="2:3">
      <c r="C80" s="85"/>
    </row>
    <row r="81" spans="3:3">
      <c r="C81" s="85"/>
    </row>
    <row r="82" spans="3:3">
      <c r="C82" s="85"/>
    </row>
    <row r="83" spans="3:3">
      <c r="C83" s="85"/>
    </row>
    <row r="84" spans="3:3">
      <c r="C84" s="85"/>
    </row>
    <row r="85" spans="3:3">
      <c r="C85" s="85"/>
    </row>
    <row r="86" spans="3:3">
      <c r="C86" s="85"/>
    </row>
    <row r="87" spans="3:3">
      <c r="C87" s="85"/>
    </row>
    <row r="88" spans="3:3">
      <c r="C88" s="85"/>
    </row>
    <row r="89" spans="3:3">
      <c r="C89" s="85"/>
    </row>
    <row r="90" spans="3:3">
      <c r="C90" s="85"/>
    </row>
    <row r="91" spans="3:3">
      <c r="C91" s="85"/>
    </row>
    <row r="92" spans="3:3">
      <c r="C92" s="85"/>
    </row>
    <row r="93" spans="3:3">
      <c r="C93" s="85"/>
    </row>
    <row r="94" spans="3:3">
      <c r="C94" s="85"/>
    </row>
    <row r="95" spans="3:3">
      <c r="C95" s="85"/>
    </row>
    <row r="96" spans="3:3">
      <c r="C96" s="85"/>
    </row>
    <row r="97" spans="3:3">
      <c r="C97" s="85"/>
    </row>
    <row r="98" spans="3:3">
      <c r="C98" s="85"/>
    </row>
    <row r="99" spans="3:3">
      <c r="C99" s="85"/>
    </row>
    <row r="100" spans="3:3">
      <c r="C100" s="85"/>
    </row>
    <row r="101" spans="3:3">
      <c r="C101" s="85"/>
    </row>
    <row r="102" spans="3:3">
      <c r="C102" s="85"/>
    </row>
    <row r="103" spans="3:3">
      <c r="C103" s="85"/>
    </row>
    <row r="104" spans="3:3">
      <c r="C104" s="85"/>
    </row>
    <row r="105" spans="3:3">
      <c r="C105" s="85"/>
    </row>
    <row r="106" spans="3:3">
      <c r="C106" s="85"/>
    </row>
    <row r="107" spans="3:3">
      <c r="C107" s="85"/>
    </row>
    <row r="108" spans="3:3">
      <c r="C108" s="85"/>
    </row>
    <row r="109" spans="3:3">
      <c r="C109" s="85"/>
    </row>
    <row r="110" spans="3:3">
      <c r="C110" s="85"/>
    </row>
    <row r="111" spans="3:3">
      <c r="C111" s="85"/>
    </row>
    <row r="112" spans="3:3">
      <c r="C112" s="85"/>
    </row>
    <row r="113" spans="3:3">
      <c r="C113" s="85"/>
    </row>
    <row r="114" spans="3:3">
      <c r="C114" s="85"/>
    </row>
    <row r="115" spans="3:3">
      <c r="C115" s="85"/>
    </row>
    <row r="116" spans="3:3">
      <c r="C116" s="85"/>
    </row>
    <row r="117" spans="3:3">
      <c r="C117" s="85"/>
    </row>
    <row r="118" spans="3:3">
      <c r="C118" s="85"/>
    </row>
    <row r="119" spans="3:3">
      <c r="C119" s="85"/>
    </row>
    <row r="120" spans="3:3">
      <c r="C120" s="85"/>
    </row>
    <row r="121" spans="3:3">
      <c r="C121" s="85"/>
    </row>
    <row r="122" spans="3:3">
      <c r="C122" s="85"/>
    </row>
    <row r="123" spans="3:3">
      <c r="C123" s="85"/>
    </row>
    <row r="124" spans="3:3">
      <c r="C124" s="85"/>
    </row>
    <row r="125" spans="3:3">
      <c r="C125" s="85"/>
    </row>
    <row r="126" spans="3:3">
      <c r="C126" s="85"/>
    </row>
    <row r="127" spans="3:3">
      <c r="C127" s="85"/>
    </row>
    <row r="128" spans="3:3">
      <c r="C128" s="85"/>
    </row>
    <row r="129" spans="3:3">
      <c r="C129" s="85"/>
    </row>
    <row r="130" spans="3:3">
      <c r="C130" s="85"/>
    </row>
    <row r="131" spans="3:3">
      <c r="C131" s="85"/>
    </row>
    <row r="132" spans="3:3">
      <c r="C132" s="85"/>
    </row>
    <row r="133" spans="3:3">
      <c r="C133" s="85"/>
    </row>
    <row r="134" spans="3:3">
      <c r="C134" s="85"/>
    </row>
    <row r="135" spans="3:3">
      <c r="C135" s="85"/>
    </row>
    <row r="136" spans="3:3">
      <c r="C136" s="85"/>
    </row>
    <row r="137" spans="3:3">
      <c r="C137" s="85"/>
    </row>
    <row r="138" spans="3:3">
      <c r="C138" s="85"/>
    </row>
    <row r="139" spans="3:3">
      <c r="C139" s="85"/>
    </row>
    <row r="140" spans="3:3">
      <c r="C140" s="85"/>
    </row>
    <row r="141" spans="3:3">
      <c r="C141" s="85"/>
    </row>
    <row r="142" spans="3:3">
      <c r="C142" s="85"/>
    </row>
    <row r="143" spans="3:3">
      <c r="C143" s="85"/>
    </row>
    <row r="144" spans="3:3">
      <c r="C144" s="85"/>
    </row>
    <row r="145" spans="3:3">
      <c r="C145" s="85"/>
    </row>
    <row r="146" spans="3:3">
      <c r="C146" s="85"/>
    </row>
    <row r="147" spans="3:3">
      <c r="C147" s="85"/>
    </row>
    <row r="148" spans="3:3">
      <c r="C148" s="85"/>
    </row>
    <row r="149" spans="3:3">
      <c r="C149" s="85"/>
    </row>
    <row r="150" spans="3:3">
      <c r="C150" s="85"/>
    </row>
    <row r="151" spans="3:3">
      <c r="C151" s="85"/>
    </row>
    <row r="152" spans="3:3">
      <c r="C152" s="85"/>
    </row>
    <row r="153" spans="3:3">
      <c r="C153" s="85"/>
    </row>
    <row r="154" spans="3:3">
      <c r="C154" s="85"/>
    </row>
    <row r="155" spans="3:3">
      <c r="C155" s="85"/>
    </row>
    <row r="156" spans="3:3">
      <c r="C156" s="85"/>
    </row>
    <row r="157" spans="3:3">
      <c r="C157" s="85"/>
    </row>
    <row r="158" spans="3:3">
      <c r="C158" s="85"/>
    </row>
    <row r="159" spans="3:3">
      <c r="C159" s="85"/>
    </row>
    <row r="160" spans="3:3">
      <c r="C160" s="85"/>
    </row>
    <row r="161" spans="3:3">
      <c r="C161" s="85"/>
    </row>
    <row r="162" spans="3:3">
      <c r="C162" s="85"/>
    </row>
    <row r="163" spans="3:3">
      <c r="C163" s="85"/>
    </row>
    <row r="164" spans="3:3">
      <c r="C164" s="85"/>
    </row>
    <row r="165" spans="3:3">
      <c r="C165" s="85"/>
    </row>
    <row r="166" spans="3:3">
      <c r="C166" s="85"/>
    </row>
    <row r="167" spans="3:3">
      <c r="C167" s="85"/>
    </row>
    <row r="168" spans="3:3">
      <c r="C168" s="85"/>
    </row>
    <row r="169" spans="3:3">
      <c r="C169" s="85"/>
    </row>
    <row r="170" spans="3:3">
      <c r="C170" s="85"/>
    </row>
    <row r="171" spans="3:3">
      <c r="C171" s="85"/>
    </row>
    <row r="172" spans="3:3">
      <c r="C172" s="85"/>
    </row>
    <row r="173" spans="3:3">
      <c r="C173" s="85"/>
    </row>
    <row r="174" spans="3:3">
      <c r="C174" s="85"/>
    </row>
    <row r="175" spans="3:3">
      <c r="C175" s="85"/>
    </row>
    <row r="176" spans="3:3">
      <c r="C176" s="85"/>
    </row>
    <row r="177" spans="3:3">
      <c r="C177" s="85"/>
    </row>
    <row r="178" spans="3:3">
      <c r="C178" s="85"/>
    </row>
    <row r="179" spans="3:3">
      <c r="C179" s="85"/>
    </row>
    <row r="180" spans="3:3">
      <c r="C180" s="85"/>
    </row>
    <row r="181" spans="3:3">
      <c r="C181" s="85"/>
    </row>
    <row r="182" spans="3:3">
      <c r="C182" s="85"/>
    </row>
    <row r="183" spans="3:3">
      <c r="C183" s="85"/>
    </row>
    <row r="184" spans="3:3">
      <c r="C184" s="85"/>
    </row>
    <row r="185" spans="3:3">
      <c r="C185" s="85"/>
    </row>
    <row r="186" spans="3:3">
      <c r="C186" s="85"/>
    </row>
    <row r="187" spans="3:3">
      <c r="C187" s="85"/>
    </row>
    <row r="188" spans="3:3">
      <c r="C188" s="85"/>
    </row>
    <row r="189" spans="3:3">
      <c r="C189" s="85"/>
    </row>
    <row r="190" spans="3:3">
      <c r="C190" s="85"/>
    </row>
    <row r="191" spans="3:3">
      <c r="C191" s="85"/>
    </row>
    <row r="192" spans="3:3">
      <c r="C192" s="85"/>
    </row>
    <row r="193" spans="3:3">
      <c r="C193" s="85"/>
    </row>
    <row r="194" spans="3:3">
      <c r="C194" s="85"/>
    </row>
    <row r="195" spans="3:3">
      <c r="C195" s="85"/>
    </row>
    <row r="196" spans="3:3">
      <c r="C196" s="85"/>
    </row>
    <row r="197" spans="3:3">
      <c r="C197" s="85"/>
    </row>
    <row r="198" spans="3:3">
      <c r="C198" s="85"/>
    </row>
    <row r="199" spans="3:3">
      <c r="C199" s="85"/>
    </row>
    <row r="200" spans="3:3">
      <c r="C200" s="85"/>
    </row>
    <row r="201" spans="3:3">
      <c r="C201" s="85"/>
    </row>
    <row r="202" spans="3:3">
      <c r="C202" s="85"/>
    </row>
    <row r="203" spans="3:3">
      <c r="C203" s="85"/>
    </row>
    <row r="204" spans="3:3">
      <c r="C204" s="85"/>
    </row>
    <row r="205" spans="3:3">
      <c r="C205" s="85"/>
    </row>
    <row r="206" spans="3:3">
      <c r="C206" s="85"/>
    </row>
    <row r="207" spans="3:3">
      <c r="C207" s="85"/>
    </row>
    <row r="208" spans="3:3">
      <c r="C208" s="85"/>
    </row>
    <row r="209" spans="3:3">
      <c r="C209" s="85"/>
    </row>
    <row r="210" spans="3:3">
      <c r="C210" s="85"/>
    </row>
    <row r="211" spans="3:3">
      <c r="C211" s="85"/>
    </row>
    <row r="212" spans="3:3">
      <c r="C212" s="85"/>
    </row>
    <row r="213" spans="3:3">
      <c r="C213" s="85"/>
    </row>
    <row r="214" spans="3:3">
      <c r="C214" s="85"/>
    </row>
    <row r="215" spans="3:3">
      <c r="C215" s="85"/>
    </row>
    <row r="216" spans="3:3">
      <c r="C216" s="85"/>
    </row>
    <row r="217" spans="3:3">
      <c r="C217" s="85"/>
    </row>
    <row r="218" spans="3:3">
      <c r="C218" s="85"/>
    </row>
    <row r="219" spans="3:3">
      <c r="C219" s="85"/>
    </row>
    <row r="220" spans="3:3">
      <c r="C220" s="85"/>
    </row>
    <row r="221" spans="3:3">
      <c r="C221" s="85"/>
    </row>
    <row r="222" spans="3:3">
      <c r="C222" s="85"/>
    </row>
    <row r="223" spans="3:3">
      <c r="C223" s="85"/>
    </row>
    <row r="224" spans="3:3">
      <c r="C224" s="85"/>
    </row>
    <row r="225" spans="3:3">
      <c r="C225" s="85"/>
    </row>
    <row r="226" spans="3:3">
      <c r="C226" s="85"/>
    </row>
    <row r="227" spans="3:3">
      <c r="C227" s="85"/>
    </row>
    <row r="228" spans="3:3">
      <c r="C228" s="85"/>
    </row>
    <row r="229" spans="3:3">
      <c r="C229" s="85"/>
    </row>
    <row r="230" spans="3:3">
      <c r="C230" s="85"/>
    </row>
    <row r="231" spans="3:3">
      <c r="C231" s="85"/>
    </row>
    <row r="232" spans="3:3">
      <c r="C232" s="85"/>
    </row>
    <row r="233" spans="3:3">
      <c r="C233" s="85"/>
    </row>
    <row r="234" spans="3:3">
      <c r="C234" s="85"/>
    </row>
    <row r="235" spans="3:3">
      <c r="C235" s="85"/>
    </row>
    <row r="236" spans="3:3">
      <c r="C236" s="85"/>
    </row>
    <row r="237" spans="3:3">
      <c r="C237" s="85"/>
    </row>
    <row r="238" spans="3:3">
      <c r="C238" s="85"/>
    </row>
    <row r="239" spans="3:3">
      <c r="C239" s="85"/>
    </row>
    <row r="240" spans="3:3">
      <c r="C240" s="85"/>
    </row>
    <row r="241" spans="3:3">
      <c r="C241" s="85"/>
    </row>
    <row r="242" spans="3:3">
      <c r="C242" s="85"/>
    </row>
    <row r="243" spans="3:3">
      <c r="C243" s="85"/>
    </row>
    <row r="244" spans="3:3">
      <c r="C244" s="85"/>
    </row>
    <row r="245" spans="3:3">
      <c r="C245" s="85"/>
    </row>
    <row r="246" spans="3:3">
      <c r="C246" s="85"/>
    </row>
    <row r="247" spans="3:3">
      <c r="C247" s="85"/>
    </row>
    <row r="248" spans="3:3">
      <c r="C248" s="85"/>
    </row>
    <row r="249" spans="3:3">
      <c r="C249" s="85"/>
    </row>
    <row r="250" spans="3:3">
      <c r="C250" s="85"/>
    </row>
    <row r="251" spans="3:3">
      <c r="C251" s="85"/>
    </row>
    <row r="252" spans="3:3">
      <c r="C252" s="85"/>
    </row>
    <row r="253" spans="3:3">
      <c r="C253" s="85"/>
    </row>
    <row r="254" spans="3:3">
      <c r="C254" s="85"/>
    </row>
    <row r="255" spans="3:3">
      <c r="C255" s="85"/>
    </row>
    <row r="256" spans="3:3">
      <c r="C256" s="85"/>
    </row>
    <row r="257" spans="3:3">
      <c r="C257" s="85"/>
    </row>
    <row r="258" spans="3:3">
      <c r="C258" s="85"/>
    </row>
    <row r="259" spans="3:3">
      <c r="C259" s="85"/>
    </row>
    <row r="260" spans="3:3">
      <c r="C260" s="85"/>
    </row>
    <row r="261" spans="3:3">
      <c r="C261" s="85"/>
    </row>
    <row r="262" spans="3:3">
      <c r="C262" s="85"/>
    </row>
    <row r="263" spans="3:3">
      <c r="C263" s="85"/>
    </row>
    <row r="264" spans="3:3">
      <c r="C264" s="85"/>
    </row>
    <row r="265" spans="3:3">
      <c r="C265" s="85"/>
    </row>
    <row r="266" spans="3:3">
      <c r="C266" s="85"/>
    </row>
    <row r="267" spans="3:3">
      <c r="C267" s="85"/>
    </row>
    <row r="268" spans="3:3">
      <c r="C268" s="85"/>
    </row>
    <row r="269" spans="3:3">
      <c r="C269" s="85"/>
    </row>
    <row r="270" spans="3:3">
      <c r="C270" s="85"/>
    </row>
    <row r="271" spans="3:3">
      <c r="C271" s="85"/>
    </row>
    <row r="272" spans="3:3">
      <c r="C272" s="85"/>
    </row>
    <row r="273" spans="3:3">
      <c r="C273" s="85"/>
    </row>
    <row r="274" spans="3:3">
      <c r="C274" s="85"/>
    </row>
    <row r="275" spans="3:3">
      <c r="C275" s="85"/>
    </row>
    <row r="276" spans="3:3">
      <c r="C276" s="85"/>
    </row>
    <row r="277" spans="3:3">
      <c r="C277" s="85"/>
    </row>
    <row r="278" spans="3:3">
      <c r="C278" s="85"/>
    </row>
    <row r="279" spans="3:3">
      <c r="C279" s="85"/>
    </row>
    <row r="280" spans="3:3">
      <c r="C280" s="85"/>
    </row>
    <row r="281" spans="3:3">
      <c r="C281" s="85"/>
    </row>
    <row r="282" spans="3:3">
      <c r="C282" s="85"/>
    </row>
    <row r="283" spans="3:3">
      <c r="C283" s="85"/>
    </row>
    <row r="284" spans="3:3">
      <c r="C284" s="85"/>
    </row>
    <row r="285" spans="3:3">
      <c r="C285" s="85"/>
    </row>
    <row r="286" spans="3:3">
      <c r="C286" s="85"/>
    </row>
    <row r="287" spans="3:3">
      <c r="C287" s="85"/>
    </row>
    <row r="288" spans="3:3">
      <c r="C288" s="85"/>
    </row>
    <row r="289" spans="3:3">
      <c r="C289" s="85"/>
    </row>
    <row r="290" spans="3:3">
      <c r="C290" s="85"/>
    </row>
    <row r="291" spans="3:3">
      <c r="C291" s="85"/>
    </row>
    <row r="292" spans="3:3">
      <c r="C292" s="85"/>
    </row>
    <row r="293" spans="3:3">
      <c r="C293" s="85"/>
    </row>
    <row r="294" spans="3:3">
      <c r="C294" s="85"/>
    </row>
    <row r="295" spans="3:3">
      <c r="C295" s="85"/>
    </row>
    <row r="296" spans="3:3">
      <c r="C296" s="85"/>
    </row>
    <row r="297" spans="3:3">
      <c r="C297" s="85"/>
    </row>
    <row r="298" spans="3:3">
      <c r="C298" s="85"/>
    </row>
    <row r="299" spans="3:3">
      <c r="C299" s="85"/>
    </row>
    <row r="300" spans="3:3">
      <c r="C300" s="85"/>
    </row>
    <row r="301" spans="3:3">
      <c r="C301" s="85"/>
    </row>
    <row r="302" spans="3:3">
      <c r="C302" s="85"/>
    </row>
    <row r="303" spans="3:3">
      <c r="C303" s="85"/>
    </row>
    <row r="304" spans="3:3">
      <c r="C304" s="85"/>
    </row>
    <row r="305" spans="3:3">
      <c r="C305" s="85"/>
    </row>
    <row r="306" spans="3:3">
      <c r="C306" s="85"/>
    </row>
    <row r="307" spans="3:3">
      <c r="C307" s="85"/>
    </row>
    <row r="308" spans="3:3">
      <c r="C308" s="85"/>
    </row>
    <row r="309" spans="3:3">
      <c r="C309" s="85"/>
    </row>
    <row r="310" spans="3:3">
      <c r="C310" s="85"/>
    </row>
    <row r="311" spans="3:3">
      <c r="C311" s="85"/>
    </row>
    <row r="312" spans="3:3">
      <c r="C312" s="85"/>
    </row>
    <row r="313" spans="3:3">
      <c r="C313" s="85"/>
    </row>
    <row r="314" spans="3:3">
      <c r="C314" s="85"/>
    </row>
    <row r="315" spans="3:3">
      <c r="C315" s="85"/>
    </row>
    <row r="316" spans="3:3">
      <c r="C316" s="85"/>
    </row>
    <row r="317" spans="3:3">
      <c r="C317" s="85"/>
    </row>
    <row r="318" spans="3:3">
      <c r="C318" s="85"/>
    </row>
    <row r="319" spans="3:3">
      <c r="C319" s="85"/>
    </row>
    <row r="320" spans="3:3">
      <c r="C320" s="85"/>
    </row>
    <row r="321" spans="3:3">
      <c r="C321" s="85"/>
    </row>
    <row r="322" spans="3:3">
      <c r="C322" s="85"/>
    </row>
    <row r="323" spans="3:3">
      <c r="C323" s="85"/>
    </row>
    <row r="324" spans="3:3">
      <c r="C324" s="85"/>
    </row>
    <row r="325" spans="3:3">
      <c r="C325" s="85"/>
    </row>
    <row r="326" spans="3:3">
      <c r="C326" s="85"/>
    </row>
    <row r="327" spans="3:3">
      <c r="C327" s="85"/>
    </row>
    <row r="328" spans="3:3">
      <c r="C328" s="85"/>
    </row>
    <row r="329" spans="3:3">
      <c r="C329" s="85"/>
    </row>
    <row r="330" spans="3:3">
      <c r="C330" s="85"/>
    </row>
    <row r="331" spans="3:3">
      <c r="C331" s="85"/>
    </row>
    <row r="332" spans="3:3">
      <c r="C332" s="85"/>
    </row>
    <row r="333" spans="3:3">
      <c r="C333" s="85"/>
    </row>
    <row r="334" spans="3:3">
      <c r="C334" s="85"/>
    </row>
    <row r="335" spans="3:3">
      <c r="C335" s="85"/>
    </row>
    <row r="336" spans="3:3">
      <c r="C336" s="85"/>
    </row>
    <row r="337" spans="3:3">
      <c r="C337" s="85"/>
    </row>
    <row r="338" spans="3:3">
      <c r="C338" s="85"/>
    </row>
    <row r="339" spans="3:3">
      <c r="C339" s="85"/>
    </row>
    <row r="340" spans="3:3">
      <c r="C340" s="85"/>
    </row>
    <row r="341" spans="3:3">
      <c r="C341" s="85"/>
    </row>
    <row r="342" spans="3:3">
      <c r="C342" s="85"/>
    </row>
    <row r="343" spans="3:3">
      <c r="C343" s="85"/>
    </row>
    <row r="344" spans="3:3">
      <c r="C344" s="85"/>
    </row>
    <row r="345" spans="3:3">
      <c r="C345" s="85"/>
    </row>
    <row r="346" spans="3:3">
      <c r="C346" s="85"/>
    </row>
    <row r="347" spans="3:3">
      <c r="C347" s="85"/>
    </row>
    <row r="348" spans="3:3">
      <c r="C348" s="85"/>
    </row>
    <row r="349" spans="3:3">
      <c r="C349" s="85"/>
    </row>
    <row r="350" spans="3:3">
      <c r="C350" s="85"/>
    </row>
    <row r="351" spans="3:3">
      <c r="C351" s="85"/>
    </row>
    <row r="352" spans="3:3">
      <c r="C352" s="85"/>
    </row>
    <row r="353" spans="3:3">
      <c r="C353" s="85"/>
    </row>
    <row r="354" spans="3:3">
      <c r="C354" s="85"/>
    </row>
    <row r="355" spans="3:3">
      <c r="C355" s="85"/>
    </row>
    <row r="356" spans="3:3">
      <c r="C356" s="85"/>
    </row>
    <row r="357" spans="3:3">
      <c r="C357" s="85"/>
    </row>
    <row r="358" spans="3:3">
      <c r="C358" s="85"/>
    </row>
    <row r="359" spans="3:3">
      <c r="C359" s="85"/>
    </row>
    <row r="360" spans="3:3">
      <c r="C360" s="85"/>
    </row>
    <row r="361" spans="3:3">
      <c r="C361" s="85"/>
    </row>
    <row r="362" spans="3:3">
      <c r="C362" s="85"/>
    </row>
    <row r="363" spans="3:3">
      <c r="C363" s="85"/>
    </row>
    <row r="364" spans="3:3">
      <c r="C364" s="85"/>
    </row>
    <row r="365" spans="3:3">
      <c r="C365" s="85"/>
    </row>
    <row r="366" spans="3:3">
      <c r="C366" s="85"/>
    </row>
    <row r="367" spans="3:3">
      <c r="C367" s="85"/>
    </row>
    <row r="368" spans="3:3">
      <c r="C368" s="85"/>
    </row>
    <row r="369" spans="3:3">
      <c r="C369" s="85"/>
    </row>
    <row r="370" spans="3:3">
      <c r="C370" s="85"/>
    </row>
    <row r="371" spans="3:3">
      <c r="C371" s="85"/>
    </row>
    <row r="372" spans="3:3">
      <c r="C372" s="85"/>
    </row>
    <row r="373" spans="3:3">
      <c r="C373" s="85"/>
    </row>
    <row r="374" spans="3:3">
      <c r="C374" s="85"/>
    </row>
    <row r="375" spans="3:3">
      <c r="C375" s="85"/>
    </row>
    <row r="376" spans="3:3">
      <c r="C376" s="85"/>
    </row>
    <row r="377" spans="3:3">
      <c r="C377" s="85"/>
    </row>
    <row r="378" spans="3:3">
      <c r="C378" s="85"/>
    </row>
    <row r="379" spans="3:3">
      <c r="C379" s="85"/>
    </row>
    <row r="380" spans="3:3">
      <c r="C380" s="85"/>
    </row>
    <row r="381" spans="3:3">
      <c r="C381" s="85"/>
    </row>
    <row r="382" spans="3:3">
      <c r="C382" s="85"/>
    </row>
    <row r="383" spans="3:3">
      <c r="C383" s="85"/>
    </row>
    <row r="384" spans="3:3">
      <c r="C384" s="85"/>
    </row>
    <row r="385" spans="3:3">
      <c r="C385" s="85"/>
    </row>
    <row r="386" spans="3:3">
      <c r="C386" s="85"/>
    </row>
    <row r="387" spans="3:3">
      <c r="C387" s="85"/>
    </row>
    <row r="388" spans="3:3">
      <c r="C388" s="85"/>
    </row>
    <row r="389" spans="3:3">
      <c r="C389" s="85"/>
    </row>
    <row r="390" spans="3:3">
      <c r="C390" s="85"/>
    </row>
    <row r="391" spans="3:3">
      <c r="C391" s="85"/>
    </row>
    <row r="392" spans="3:3">
      <c r="C392" s="85"/>
    </row>
    <row r="393" spans="3:3">
      <c r="C393" s="85"/>
    </row>
    <row r="394" spans="3:3">
      <c r="C394" s="85"/>
    </row>
    <row r="395" spans="3:3">
      <c r="C395" s="85"/>
    </row>
    <row r="396" spans="3:3">
      <c r="C396" s="85"/>
    </row>
    <row r="397" spans="3:3">
      <c r="C397" s="85"/>
    </row>
    <row r="398" spans="3:3">
      <c r="C398" s="85"/>
    </row>
    <row r="399" spans="3:3">
      <c r="C399" s="85"/>
    </row>
  </sheetData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zoomScale="70" zoomScaleNormal="70" workbookViewId="0">
      <pane ySplit="9" topLeftCell="A10" activePane="bottomLeft" state="frozen"/>
      <selection pane="bottomLeft" activeCell="D25" sqref="D25"/>
    </sheetView>
  </sheetViews>
  <sheetFormatPr defaultColWidth="8.88671875" defaultRowHeight="15"/>
  <cols>
    <col min="1" max="1" width="21.44140625" style="1" bestFit="1" customWidth="1"/>
    <col min="2" max="2" width="43.88671875" style="1" bestFit="1" customWidth="1"/>
    <col min="3" max="5" width="17.88671875" style="1" customWidth="1"/>
    <col min="6" max="6" width="27.44140625" style="2" customWidth="1"/>
    <col min="7" max="8" width="17.88671875" style="3" customWidth="1"/>
    <col min="9" max="9" width="8.5546875" style="3" customWidth="1"/>
    <col min="10" max="16384" width="8.88671875" style="14"/>
  </cols>
  <sheetData>
    <row r="1" spans="1:9" ht="19.350000000000001" customHeight="1">
      <c r="A1" s="16" t="s">
        <v>104</v>
      </c>
      <c r="B1" s="17">
        <v>44798</v>
      </c>
      <c r="C1" s="16" t="s">
        <v>35</v>
      </c>
      <c r="D1" s="17">
        <v>45107</v>
      </c>
      <c r="E1" s="16"/>
      <c r="F1" s="28" t="str">
        <f>""&amp;"实际收益率为"&amp;ROUND(G6*100,1)&amp;"%，小于2%，按照第一档位收取以下"&amp;H2</f>
        <v>实际收益率为0.8%，小于2%，按照第一档位收取以下费用合计：8.22</v>
      </c>
      <c r="G1" s="29"/>
      <c r="H1" s="29"/>
      <c r="I1" s="30"/>
    </row>
    <row r="2" spans="1:9" ht="19.350000000000001" customHeight="1">
      <c r="A2" s="16" t="s">
        <v>36</v>
      </c>
      <c r="B2" s="16">
        <v>2000</v>
      </c>
      <c r="C2" s="16"/>
      <c r="D2" s="16"/>
      <c r="E2" s="16"/>
      <c r="F2" s="31" t="s">
        <v>124</v>
      </c>
      <c r="G2" s="25">
        <f>B$2*0.0037</f>
        <v>7.4</v>
      </c>
      <c r="H2" s="26" t="str">
        <f>"费用合计："&amp;ROUND(SUM(G2+G3),2)</f>
        <v>费用合计：8.22</v>
      </c>
      <c r="I2" s="32"/>
    </row>
    <row r="3" spans="1:9" ht="19.350000000000001" customHeight="1">
      <c r="A3" s="16" t="s">
        <v>105</v>
      </c>
      <c r="B3" s="17">
        <v>45107</v>
      </c>
      <c r="C3" s="16"/>
      <c r="D3" s="16"/>
      <c r="E3" s="16"/>
      <c r="F3" s="31" t="s">
        <v>125</v>
      </c>
      <c r="G3" s="25">
        <f>IF(G5&lt;=0,0,G5*0.05)</f>
        <v>0.81593743088353998</v>
      </c>
      <c r="H3" s="27"/>
      <c r="I3" s="33"/>
    </row>
    <row r="4" spans="1:9" ht="19.350000000000001" customHeight="1" thickBot="1">
      <c r="A4" s="16"/>
      <c r="B4" s="17"/>
      <c r="C4" s="16"/>
      <c r="D4" s="16"/>
      <c r="E4" s="16"/>
      <c r="F4" s="60" t="s">
        <v>109</v>
      </c>
      <c r="G4" s="61">
        <f>G5-G2-G3</f>
        <v>8.1028111867872585</v>
      </c>
      <c r="H4" s="62"/>
      <c r="I4" s="63"/>
    </row>
    <row r="5" spans="1:9" ht="19.350000000000001" customHeight="1">
      <c r="A5" s="64" t="s">
        <v>126</v>
      </c>
      <c r="B5" s="34">
        <f>SUM(D10:D43)</f>
        <v>14.239621857142875</v>
      </c>
      <c r="C5" s="35"/>
      <c r="D5" s="58" t="s">
        <v>106</v>
      </c>
      <c r="E5" s="36"/>
      <c r="F5" s="54" t="s">
        <v>127</v>
      </c>
      <c r="G5" s="37">
        <f>SUM(G10:G43)</f>
        <v>16.318748617670799</v>
      </c>
      <c r="H5" s="50" t="s">
        <v>108</v>
      </c>
      <c r="I5" s="38"/>
    </row>
    <row r="6" spans="1:9" ht="19.350000000000001" customHeight="1">
      <c r="A6" s="39" t="s">
        <v>107</v>
      </c>
      <c r="B6" s="18">
        <f>B5/B2</f>
        <v>7.1198109285714375E-3</v>
      </c>
      <c r="C6" s="24"/>
      <c r="D6" s="51" t="s">
        <v>37</v>
      </c>
      <c r="E6" s="15">
        <f>B$5/(DATEDIF(B$1,B$3,"d")/30)/B$2</f>
        <v>6.9124377947295517E-4</v>
      </c>
      <c r="F6" s="55" t="s">
        <v>110</v>
      </c>
      <c r="G6" s="19">
        <f>G5/B2</f>
        <v>8.1593743088354004E-3</v>
      </c>
      <c r="H6" s="52" t="s">
        <v>37</v>
      </c>
      <c r="I6" s="40">
        <f>G$5/(DATEDIF(B$1,B$3,"d")/30)/B$2</f>
        <v>7.9217226299372809E-4</v>
      </c>
    </row>
    <row r="7" spans="1:9" ht="19.350000000000001" customHeight="1">
      <c r="A7" s="41"/>
      <c r="B7" s="18"/>
      <c r="C7" s="18"/>
      <c r="D7" s="51" t="s">
        <v>38</v>
      </c>
      <c r="E7" s="15">
        <f>B$5/(DATEDIF(B$1,B$3,"d")/90)/B$2</f>
        <v>2.0737313384188655E-3</v>
      </c>
      <c r="F7" s="55"/>
      <c r="G7" s="53"/>
      <c r="H7" s="52" t="s">
        <v>38</v>
      </c>
      <c r="I7" s="40">
        <f>G$5/(DATEDIF(B$1,B$3,"d")/90)/B$2</f>
        <v>2.3765167889811846E-3</v>
      </c>
    </row>
    <row r="8" spans="1:9" ht="19.350000000000001" customHeight="1" thickBot="1">
      <c r="A8" s="42"/>
      <c r="B8" s="43"/>
      <c r="C8" s="43"/>
      <c r="D8" s="59" t="s">
        <v>39</v>
      </c>
      <c r="E8" s="43">
        <f>B$5/(DATEDIF(B$1,B$3,"d")/365)/B$2</f>
        <v>8.4101326502542869E-3</v>
      </c>
      <c r="F8" s="56"/>
      <c r="G8" s="44"/>
      <c r="H8" s="45" t="s">
        <v>39</v>
      </c>
      <c r="I8" s="46">
        <f>G$5/(DATEDIF(B$1,B$3,"d")/365)/B$2</f>
        <v>9.6380958664236925E-3</v>
      </c>
    </row>
    <row r="9" spans="1:9" s="23" customFormat="1" ht="15.6">
      <c r="A9" s="22"/>
      <c r="B9" s="22" t="s">
        <v>40</v>
      </c>
      <c r="C9" s="22" t="s">
        <v>41</v>
      </c>
      <c r="D9" s="22" t="s">
        <v>100</v>
      </c>
      <c r="E9" s="22" t="s">
        <v>101</v>
      </c>
      <c r="F9" s="22" t="s">
        <v>111</v>
      </c>
      <c r="G9" s="22" t="s">
        <v>102</v>
      </c>
      <c r="H9" s="22" t="s">
        <v>103</v>
      </c>
      <c r="I9" s="22"/>
    </row>
    <row r="10" spans="1:9" ht="15.6">
      <c r="A10" s="21"/>
      <c r="B10" s="20" t="s">
        <v>63</v>
      </c>
      <c r="C10" s="4">
        <v>26.6666666666667</v>
      </c>
      <c r="D10" s="4">
        <v>4.8499999999999996</v>
      </c>
      <c r="E10" s="57">
        <f t="shared" ref="E10:E43" si="0">D10/C10</f>
        <v>0.18187499999999976</v>
      </c>
      <c r="F10" s="4">
        <v>1.0900000000000001</v>
      </c>
      <c r="G10" s="4">
        <f t="shared" ref="G10:G43" si="1">D10-F10</f>
        <v>3.76</v>
      </c>
      <c r="H10" s="57">
        <f t="shared" ref="H10:H43" si="2">G10/C10</f>
        <v>0.14099999999999982</v>
      </c>
      <c r="I10" s="22"/>
    </row>
    <row r="11" spans="1:9" ht="15.6">
      <c r="A11" s="21"/>
      <c r="B11" s="20" t="s">
        <v>69</v>
      </c>
      <c r="C11" s="4">
        <v>86.6666666666667</v>
      </c>
      <c r="D11" s="4">
        <v>11.6</v>
      </c>
      <c r="E11" s="57">
        <f t="shared" si="0"/>
        <v>0.13384615384615378</v>
      </c>
      <c r="F11" s="4">
        <v>9.81</v>
      </c>
      <c r="G11" s="4">
        <f t="shared" si="1"/>
        <v>1.7899999999999991</v>
      </c>
      <c r="H11" s="57">
        <f t="shared" si="2"/>
        <v>2.0653846153846137E-2</v>
      </c>
      <c r="I11" s="22"/>
    </row>
    <row r="12" spans="1:9" ht="15.6">
      <c r="A12" s="21"/>
      <c r="B12" s="20" t="s">
        <v>56</v>
      </c>
      <c r="C12" s="4">
        <v>26.6666666666667</v>
      </c>
      <c r="D12" s="4">
        <v>3.09</v>
      </c>
      <c r="E12" s="57">
        <f t="shared" si="0"/>
        <v>0.11587499999999985</v>
      </c>
      <c r="F12" s="4">
        <v>0.82</v>
      </c>
      <c r="G12" s="4">
        <f t="shared" si="1"/>
        <v>2.27</v>
      </c>
      <c r="H12" s="57">
        <f t="shared" si="2"/>
        <v>8.5124999999999895E-2</v>
      </c>
      <c r="I12" s="22"/>
    </row>
    <row r="13" spans="1:9" ht="15.6">
      <c r="A13" s="21"/>
      <c r="B13" s="20" t="s">
        <v>71</v>
      </c>
      <c r="C13" s="4">
        <v>146.666666666667</v>
      </c>
      <c r="D13" s="4">
        <v>13.1</v>
      </c>
      <c r="E13" s="57">
        <f t="shared" si="0"/>
        <v>8.9318181818181616E-2</v>
      </c>
      <c r="F13" s="4">
        <v>9.2200000000000006</v>
      </c>
      <c r="G13" s="4">
        <f t="shared" si="1"/>
        <v>3.879999999999999</v>
      </c>
      <c r="H13" s="57">
        <f t="shared" si="2"/>
        <v>2.6454545454545387E-2</v>
      </c>
      <c r="I13" s="22"/>
    </row>
    <row r="14" spans="1:9" ht="15.6">
      <c r="A14" s="21"/>
      <c r="B14" s="20" t="s">
        <v>55</v>
      </c>
      <c r="C14" s="4">
        <v>40</v>
      </c>
      <c r="D14" s="4">
        <v>3.19</v>
      </c>
      <c r="E14" s="57">
        <f t="shared" si="0"/>
        <v>7.9750000000000001E-2</v>
      </c>
      <c r="F14" s="4">
        <v>0.05</v>
      </c>
      <c r="G14" s="4">
        <f t="shared" si="1"/>
        <v>3.14</v>
      </c>
      <c r="H14" s="57">
        <f t="shared" si="2"/>
        <v>7.85E-2</v>
      </c>
      <c r="I14" s="22"/>
    </row>
    <row r="15" spans="1:9" ht="15.6">
      <c r="A15" s="21"/>
      <c r="B15" s="20" t="s">
        <v>68</v>
      </c>
      <c r="C15" s="4">
        <v>146.666666666667</v>
      </c>
      <c r="D15" s="4">
        <v>9.2200000000000006</v>
      </c>
      <c r="E15" s="57">
        <f t="shared" si="0"/>
        <v>6.2863636363636233E-2</v>
      </c>
      <c r="F15" s="4">
        <v>9.07</v>
      </c>
      <c r="G15" s="4">
        <f t="shared" si="1"/>
        <v>0.15000000000000036</v>
      </c>
      <c r="H15" s="57">
        <f t="shared" si="2"/>
        <v>1.0227272727272728E-3</v>
      </c>
      <c r="I15" s="22"/>
    </row>
    <row r="16" spans="1:9" ht="15.6">
      <c r="A16" s="21"/>
      <c r="B16" s="20" t="s">
        <v>67</v>
      </c>
      <c r="C16" s="4">
        <v>126.666666666667</v>
      </c>
      <c r="D16" s="4">
        <v>5.7300000000000182</v>
      </c>
      <c r="E16" s="57">
        <f t="shared" si="0"/>
        <v>4.5236842105263186E-2</v>
      </c>
      <c r="F16" s="4">
        <v>7.47</v>
      </c>
      <c r="G16" s="4">
        <f t="shared" si="1"/>
        <v>-1.7399999999999816</v>
      </c>
      <c r="H16" s="57">
        <f t="shared" si="2"/>
        <v>-1.3736842105262976E-2</v>
      </c>
      <c r="I16" s="22"/>
    </row>
    <row r="17" spans="1:9" ht="15.6">
      <c r="A17" s="21"/>
      <c r="B17" s="20" t="s">
        <v>48</v>
      </c>
      <c r="C17" s="4">
        <v>53.3333333333333</v>
      </c>
      <c r="D17" s="4">
        <v>1.8900000000000006</v>
      </c>
      <c r="E17" s="57">
        <f t="shared" si="0"/>
        <v>3.5437500000000031E-2</v>
      </c>
      <c r="F17" s="4">
        <v>1.47</v>
      </c>
      <c r="G17" s="4">
        <f t="shared" si="1"/>
        <v>0.4200000000000006</v>
      </c>
      <c r="H17" s="57">
        <f t="shared" si="2"/>
        <v>7.8750000000000157E-3</v>
      </c>
      <c r="I17" s="22"/>
    </row>
    <row r="18" spans="1:9" ht="15.6">
      <c r="A18" s="21"/>
      <c r="B18" s="20" t="s">
        <v>99</v>
      </c>
      <c r="C18" s="4">
        <v>26.6666666666667</v>
      </c>
      <c r="D18" s="4">
        <v>0.86</v>
      </c>
      <c r="E18" s="57">
        <f t="shared" si="0"/>
        <v>3.2249999999999959E-2</v>
      </c>
      <c r="F18" s="4">
        <v>0.86</v>
      </c>
      <c r="G18" s="4">
        <f t="shared" si="1"/>
        <v>0</v>
      </c>
      <c r="H18" s="57">
        <f t="shared" si="2"/>
        <v>0</v>
      </c>
      <c r="I18" s="22"/>
    </row>
    <row r="19" spans="1:9" ht="15.6">
      <c r="A19" s="21"/>
      <c r="B19" s="20" t="s">
        <v>49</v>
      </c>
      <c r="C19" s="4">
        <v>80</v>
      </c>
      <c r="D19" s="4">
        <v>2.3199999999999998</v>
      </c>
      <c r="E19" s="57">
        <f t="shared" si="0"/>
        <v>2.8999999999999998E-2</v>
      </c>
      <c r="F19" s="4">
        <v>0.96</v>
      </c>
      <c r="G19" s="4">
        <f t="shared" si="1"/>
        <v>1.3599999999999999</v>
      </c>
      <c r="H19" s="57">
        <f t="shared" si="2"/>
        <v>1.6999999999999998E-2</v>
      </c>
      <c r="I19" s="22"/>
    </row>
    <row r="20" spans="1:9" ht="15.6">
      <c r="A20" s="21"/>
      <c r="B20" s="20" t="s">
        <v>113</v>
      </c>
      <c r="C20" s="4">
        <v>60</v>
      </c>
      <c r="D20" s="4">
        <v>1.6596218571428485</v>
      </c>
      <c r="E20" s="57">
        <f t="shared" si="0"/>
        <v>2.7660364285714143E-2</v>
      </c>
      <c r="F20" s="4">
        <v>1.440873239472038</v>
      </c>
      <c r="G20" s="4">
        <f t="shared" si="1"/>
        <v>0.21874861767081044</v>
      </c>
      <c r="H20" s="57">
        <f t="shared" si="2"/>
        <v>3.6458102945135075E-3</v>
      </c>
      <c r="I20" s="22"/>
    </row>
    <row r="21" spans="1:9" ht="15.6">
      <c r="A21" s="21"/>
      <c r="B21" s="20" t="s">
        <v>50</v>
      </c>
      <c r="C21" s="4">
        <v>46.6666666666667</v>
      </c>
      <c r="D21" s="4">
        <v>1.24</v>
      </c>
      <c r="E21" s="57">
        <f t="shared" si="0"/>
        <v>2.6571428571428551E-2</v>
      </c>
      <c r="F21" s="4">
        <v>0.79</v>
      </c>
      <c r="G21" s="4">
        <f t="shared" si="1"/>
        <v>0.44999999999999996</v>
      </c>
      <c r="H21" s="57">
        <f t="shared" si="2"/>
        <v>9.6428571428571353E-3</v>
      </c>
      <c r="I21" s="22"/>
    </row>
    <row r="22" spans="1:9" ht="15.6">
      <c r="A22" s="21"/>
      <c r="B22" s="20" t="s">
        <v>112</v>
      </c>
      <c r="C22" s="4">
        <v>300</v>
      </c>
      <c r="D22" s="4">
        <v>7.9200000000000017</v>
      </c>
      <c r="E22" s="57">
        <f t="shared" si="0"/>
        <v>2.6400000000000007E-2</v>
      </c>
      <c r="F22" s="4">
        <v>0</v>
      </c>
      <c r="G22" s="4">
        <f t="shared" si="1"/>
        <v>7.9200000000000017</v>
      </c>
      <c r="H22" s="57">
        <f t="shared" si="2"/>
        <v>2.6400000000000007E-2</v>
      </c>
      <c r="I22" s="22"/>
    </row>
    <row r="23" spans="1:9" ht="15.6">
      <c r="A23" s="21"/>
      <c r="B23" s="20" t="s">
        <v>60</v>
      </c>
      <c r="C23" s="4">
        <v>80</v>
      </c>
      <c r="D23" s="4">
        <v>1.76</v>
      </c>
      <c r="E23" s="57">
        <f t="shared" si="0"/>
        <v>2.1999999999999999E-2</v>
      </c>
      <c r="F23" s="4">
        <v>1.31</v>
      </c>
      <c r="G23" s="4">
        <f t="shared" si="1"/>
        <v>0.44999999999999996</v>
      </c>
      <c r="H23" s="57">
        <f t="shared" si="2"/>
        <v>5.6249999999999998E-3</v>
      </c>
      <c r="I23" s="22"/>
    </row>
    <row r="24" spans="1:9" ht="15.6">
      <c r="A24" s="21"/>
      <c r="B24" s="20" t="s">
        <v>64</v>
      </c>
      <c r="C24" s="4">
        <v>60</v>
      </c>
      <c r="D24" s="4">
        <v>1.01</v>
      </c>
      <c r="E24" s="57">
        <f t="shared" si="0"/>
        <v>1.6833333333333332E-2</v>
      </c>
      <c r="F24" s="4">
        <v>1.01</v>
      </c>
      <c r="G24" s="4">
        <f t="shared" si="1"/>
        <v>0</v>
      </c>
      <c r="H24" s="57">
        <f t="shared" si="2"/>
        <v>0</v>
      </c>
      <c r="I24" s="22"/>
    </row>
    <row r="25" spans="1:9" ht="15.6">
      <c r="A25" s="21"/>
      <c r="B25" s="20" t="s">
        <v>70</v>
      </c>
      <c r="C25" s="4">
        <v>100</v>
      </c>
      <c r="D25" s="4">
        <v>1.4399999999999977</v>
      </c>
      <c r="E25" s="57">
        <f t="shared" si="0"/>
        <v>1.4399999999999977E-2</v>
      </c>
      <c r="F25" s="4">
        <v>0</v>
      </c>
      <c r="G25" s="4">
        <f t="shared" si="1"/>
        <v>1.4399999999999977</v>
      </c>
      <c r="H25" s="57">
        <f t="shared" si="2"/>
        <v>1.4399999999999977E-2</v>
      </c>
      <c r="I25" s="22"/>
    </row>
    <row r="26" spans="1:9" ht="15.6">
      <c r="A26" s="21"/>
      <c r="B26" s="20" t="s">
        <v>59</v>
      </c>
      <c r="C26" s="4">
        <v>220</v>
      </c>
      <c r="D26" s="4">
        <v>2.1800000000000002</v>
      </c>
      <c r="E26" s="57">
        <f t="shared" si="0"/>
        <v>9.9090909090909091E-3</v>
      </c>
      <c r="F26" s="4">
        <v>1.55</v>
      </c>
      <c r="G26" s="4">
        <f t="shared" si="1"/>
        <v>0.63000000000000012</v>
      </c>
      <c r="H26" s="57">
        <f t="shared" si="2"/>
        <v>2.8636363636363642E-3</v>
      </c>
      <c r="I26" s="22"/>
    </row>
    <row r="27" spans="1:9" ht="15.6">
      <c r="A27" s="21"/>
      <c r="B27" s="20" t="s">
        <v>47</v>
      </c>
      <c r="C27" s="4">
        <v>33.3333333333333</v>
      </c>
      <c r="D27" s="4">
        <v>0.1</v>
      </c>
      <c r="E27" s="57">
        <f t="shared" si="0"/>
        <v>3.0000000000000031E-3</v>
      </c>
      <c r="F27" s="4">
        <v>-2.88</v>
      </c>
      <c r="G27" s="4">
        <f t="shared" si="1"/>
        <v>2.98</v>
      </c>
      <c r="H27" s="57">
        <f t="shared" si="2"/>
        <v>8.9400000000000091E-2</v>
      </c>
      <c r="I27" s="22"/>
    </row>
    <row r="28" spans="1:9" ht="15.6">
      <c r="A28" s="21"/>
      <c r="B28" s="20" t="s">
        <v>65</v>
      </c>
      <c r="C28" s="4">
        <v>60</v>
      </c>
      <c r="D28" s="4">
        <v>0.17</v>
      </c>
      <c r="E28" s="57">
        <f t="shared" si="0"/>
        <v>2.8333333333333335E-3</v>
      </c>
      <c r="F28" s="4">
        <v>-3.51</v>
      </c>
      <c r="G28" s="4">
        <f t="shared" si="1"/>
        <v>3.6799999999999997</v>
      </c>
      <c r="H28" s="57">
        <f t="shared" si="2"/>
        <v>6.133333333333333E-2</v>
      </c>
      <c r="I28" s="22"/>
    </row>
    <row r="29" spans="1:9" ht="15.6">
      <c r="A29" s="21"/>
      <c r="B29" s="20" t="s">
        <v>51</v>
      </c>
      <c r="C29" s="4">
        <v>53.3333333333333</v>
      </c>
      <c r="D29" s="4">
        <v>-0.02</v>
      </c>
      <c r="E29" s="57">
        <f t="shared" si="0"/>
        <v>-3.7500000000000022E-4</v>
      </c>
      <c r="F29" s="4">
        <v>-2.25</v>
      </c>
      <c r="G29" s="4">
        <f t="shared" si="1"/>
        <v>2.23</v>
      </c>
      <c r="H29" s="57">
        <f t="shared" si="2"/>
        <v>4.1812500000000023E-2</v>
      </c>
      <c r="I29" s="22"/>
    </row>
    <row r="30" spans="1:9" ht="15.6">
      <c r="A30" s="21"/>
      <c r="B30" s="20" t="s">
        <v>123</v>
      </c>
      <c r="C30" s="4">
        <v>60</v>
      </c>
      <c r="D30" s="4">
        <v>-0.03</v>
      </c>
      <c r="E30" s="57">
        <f t="shared" si="0"/>
        <v>-5.0000000000000001E-4</v>
      </c>
      <c r="F30" s="4">
        <v>-0.03</v>
      </c>
      <c r="G30" s="4">
        <f t="shared" si="1"/>
        <v>0</v>
      </c>
      <c r="H30" s="57">
        <f t="shared" si="2"/>
        <v>0</v>
      </c>
      <c r="I30" s="22"/>
    </row>
    <row r="31" spans="1:9" ht="15.6">
      <c r="A31" s="21"/>
      <c r="B31" s="20" t="s">
        <v>62</v>
      </c>
      <c r="C31" s="4">
        <v>66.6666666666667</v>
      </c>
      <c r="D31" s="4">
        <v>-0.1</v>
      </c>
      <c r="E31" s="57">
        <f t="shared" si="0"/>
        <v>-1.4999999999999994E-3</v>
      </c>
      <c r="F31" s="4">
        <v>-0.51</v>
      </c>
      <c r="G31" s="4">
        <f t="shared" si="1"/>
        <v>0.41000000000000003</v>
      </c>
      <c r="H31" s="57">
        <f t="shared" si="2"/>
        <v>6.1499999999999975E-3</v>
      </c>
      <c r="I31" s="22"/>
    </row>
    <row r="32" spans="1:9" ht="15.6">
      <c r="A32" s="21"/>
      <c r="B32" s="20" t="s">
        <v>53</v>
      </c>
      <c r="C32" s="4">
        <v>40</v>
      </c>
      <c r="D32" s="4">
        <v>-0.49</v>
      </c>
      <c r="E32" s="57">
        <f t="shared" si="0"/>
        <v>-1.225E-2</v>
      </c>
      <c r="F32" s="4">
        <v>0</v>
      </c>
      <c r="G32" s="4">
        <f t="shared" si="1"/>
        <v>-0.49</v>
      </c>
      <c r="H32" s="57">
        <f t="shared" si="2"/>
        <v>-1.225E-2</v>
      </c>
      <c r="I32" s="22"/>
    </row>
    <row r="33" spans="1:9" ht="15.6">
      <c r="A33" s="21"/>
      <c r="B33" s="20" t="s">
        <v>57</v>
      </c>
      <c r="C33" s="4">
        <v>53.3333333333333</v>
      </c>
      <c r="D33" s="4">
        <v>-0.87</v>
      </c>
      <c r="E33" s="57">
        <f t="shared" si="0"/>
        <v>-1.6312500000000011E-2</v>
      </c>
      <c r="F33" s="4">
        <v>-0.87</v>
      </c>
      <c r="G33" s="4">
        <f t="shared" si="1"/>
        <v>0</v>
      </c>
      <c r="H33" s="57">
        <f t="shared" si="2"/>
        <v>0</v>
      </c>
      <c r="I33" s="22"/>
    </row>
    <row r="34" spans="1:9" ht="15.6">
      <c r="A34" s="21"/>
      <c r="B34" s="20" t="s">
        <v>66</v>
      </c>
      <c r="C34" s="4">
        <v>80</v>
      </c>
      <c r="D34" s="4">
        <v>-1.59</v>
      </c>
      <c r="E34" s="57">
        <f t="shared" si="0"/>
        <v>-1.9875E-2</v>
      </c>
      <c r="F34" s="4">
        <v>0</v>
      </c>
      <c r="G34" s="4">
        <f t="shared" si="1"/>
        <v>-1.59</v>
      </c>
      <c r="H34" s="57">
        <f t="shared" si="2"/>
        <v>-1.9875E-2</v>
      </c>
      <c r="I34" s="22"/>
    </row>
    <row r="35" spans="1:9" ht="15.6">
      <c r="A35" s="21"/>
      <c r="B35" s="20" t="s">
        <v>61</v>
      </c>
      <c r="C35" s="4">
        <v>46.6666666666667</v>
      </c>
      <c r="D35" s="4">
        <v>-1.5400000000000063</v>
      </c>
      <c r="E35" s="57">
        <f t="shared" si="0"/>
        <v>-3.3000000000000113E-2</v>
      </c>
      <c r="F35" s="4">
        <v>-1.46</v>
      </c>
      <c r="G35" s="4">
        <f t="shared" si="1"/>
        <v>-8.0000000000006288E-2</v>
      </c>
      <c r="H35" s="57">
        <f t="shared" si="2"/>
        <v>-1.7142857142858478E-3</v>
      </c>
      <c r="I35" s="22"/>
    </row>
    <row r="36" spans="1:9" ht="15.6">
      <c r="A36" s="21"/>
      <c r="B36" s="20" t="s">
        <v>54</v>
      </c>
      <c r="C36" s="4">
        <v>53.3333333333333</v>
      </c>
      <c r="D36" s="4">
        <v>-2.2400000000000002</v>
      </c>
      <c r="E36" s="57">
        <f t="shared" si="0"/>
        <v>-4.200000000000003E-2</v>
      </c>
      <c r="F36" s="4">
        <v>-2.79</v>
      </c>
      <c r="G36" s="4">
        <f t="shared" si="1"/>
        <v>0.54999999999999982</v>
      </c>
      <c r="H36" s="57">
        <f t="shared" si="2"/>
        <v>1.0312500000000002E-2</v>
      </c>
      <c r="I36" s="22"/>
    </row>
    <row r="37" spans="1:9" ht="15.6">
      <c r="A37" s="21"/>
      <c r="B37" s="20" t="s">
        <v>58</v>
      </c>
      <c r="C37" s="4">
        <v>40</v>
      </c>
      <c r="D37" s="4">
        <v>-1.85</v>
      </c>
      <c r="E37" s="57">
        <f t="shared" si="0"/>
        <v>-4.6249999999999999E-2</v>
      </c>
      <c r="F37" s="4">
        <v>0</v>
      </c>
      <c r="G37" s="4">
        <f t="shared" si="1"/>
        <v>-1.85</v>
      </c>
      <c r="H37" s="57">
        <f t="shared" si="2"/>
        <v>-4.6249999999999999E-2</v>
      </c>
      <c r="I37" s="22"/>
    </row>
    <row r="38" spans="1:9" ht="15.6">
      <c r="A38" s="21"/>
      <c r="B38" s="20" t="s">
        <v>52</v>
      </c>
      <c r="C38" s="4">
        <v>40</v>
      </c>
      <c r="D38" s="4">
        <v>-2.35</v>
      </c>
      <c r="E38" s="57">
        <f t="shared" si="0"/>
        <v>-5.8750000000000004E-2</v>
      </c>
      <c r="F38" s="4">
        <v>0</v>
      </c>
      <c r="G38" s="4">
        <f t="shared" si="1"/>
        <v>-2.35</v>
      </c>
      <c r="H38" s="57">
        <f t="shared" si="2"/>
        <v>-5.8750000000000004E-2</v>
      </c>
      <c r="I38" s="22"/>
    </row>
    <row r="39" spans="1:9" ht="15.6">
      <c r="A39" s="21"/>
      <c r="B39" s="20" t="s">
        <v>44</v>
      </c>
      <c r="C39" s="4">
        <v>120</v>
      </c>
      <c r="D39" s="4">
        <v>-7.5</v>
      </c>
      <c r="E39" s="57">
        <f t="shared" si="0"/>
        <v>-6.25E-2</v>
      </c>
      <c r="F39" s="4">
        <v>-6.9</v>
      </c>
      <c r="G39" s="4">
        <f t="shared" si="1"/>
        <v>-0.59999999999999964</v>
      </c>
      <c r="H39" s="57">
        <f t="shared" si="2"/>
        <v>-4.9999999999999966E-3</v>
      </c>
      <c r="I39" s="22"/>
    </row>
    <row r="40" spans="1:9" ht="15.6">
      <c r="A40" s="21"/>
      <c r="B40" s="20" t="s">
        <v>45</v>
      </c>
      <c r="C40" s="4">
        <v>60</v>
      </c>
      <c r="D40" s="4">
        <v>-5.2</v>
      </c>
      <c r="E40" s="57">
        <f t="shared" si="0"/>
        <v>-8.666666666666667E-2</v>
      </c>
      <c r="F40" s="4">
        <v>-3.85</v>
      </c>
      <c r="G40" s="4">
        <f t="shared" si="1"/>
        <v>-1.35</v>
      </c>
      <c r="H40" s="57">
        <f t="shared" si="2"/>
        <v>-2.2500000000000003E-2</v>
      </c>
      <c r="I40" s="22"/>
    </row>
    <row r="41" spans="1:9" ht="15.6">
      <c r="A41" s="21"/>
      <c r="B41" s="20" t="s">
        <v>42</v>
      </c>
      <c r="C41" s="4">
        <v>53.3333333333333</v>
      </c>
      <c r="D41" s="4">
        <v>-13.61</v>
      </c>
      <c r="E41" s="57">
        <f t="shared" si="0"/>
        <v>-0.25518750000000012</v>
      </c>
      <c r="F41" s="4">
        <v>-10.11</v>
      </c>
      <c r="G41" s="4">
        <f t="shared" si="1"/>
        <v>-3.5</v>
      </c>
      <c r="H41" s="57">
        <f t="shared" si="2"/>
        <v>-6.5625000000000044E-2</v>
      </c>
      <c r="I41" s="22"/>
    </row>
    <row r="42" spans="1:9" ht="15.6">
      <c r="A42" s="21"/>
      <c r="B42" s="20" t="s">
        <v>43</v>
      </c>
      <c r="C42" s="4">
        <v>46.6666666666667</v>
      </c>
      <c r="D42" s="4">
        <v>-13.2</v>
      </c>
      <c r="E42" s="57">
        <f t="shared" si="0"/>
        <v>-0.28285714285714264</v>
      </c>
      <c r="F42" s="4">
        <v>-5.86</v>
      </c>
      <c r="G42" s="4">
        <f t="shared" si="1"/>
        <v>-7.339999999999999</v>
      </c>
      <c r="H42" s="57">
        <f t="shared" si="2"/>
        <v>-0.15728571428571414</v>
      </c>
      <c r="I42" s="22"/>
    </row>
    <row r="43" spans="1:9" ht="15.6">
      <c r="A43" s="21"/>
      <c r="B43" s="20" t="s">
        <v>46</v>
      </c>
      <c r="C43" s="4">
        <v>26.6666666666667</v>
      </c>
      <c r="D43" s="4">
        <v>-8.5</v>
      </c>
      <c r="E43" s="57">
        <f t="shared" si="0"/>
        <v>-0.31874999999999959</v>
      </c>
      <c r="F43" s="4">
        <v>-7.98</v>
      </c>
      <c r="G43" s="4">
        <f t="shared" si="1"/>
        <v>-0.51999999999999957</v>
      </c>
      <c r="H43" s="57">
        <f t="shared" si="2"/>
        <v>-1.9499999999999958E-2</v>
      </c>
      <c r="I43" s="22"/>
    </row>
    <row r="44" spans="1:9" ht="15.6">
      <c r="A44" s="21"/>
      <c r="B44" s="21"/>
      <c r="C44" s="21"/>
      <c r="D44" s="21"/>
      <c r="E44" s="21"/>
      <c r="F44" s="21"/>
      <c r="G44" s="21"/>
      <c r="H44" s="21"/>
      <c r="I44" s="21"/>
    </row>
  </sheetData>
  <autoFilter ref="A9:I9" xr:uid="{00000000-0009-0000-0000-000004000000}">
    <sortState xmlns:xlrd2="http://schemas.microsoft.com/office/spreadsheetml/2017/richdata2" ref="A10:I43">
      <sortCondition descending="1" ref="E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9"/>
  <sheetViews>
    <sheetView showGridLines="0" zoomScale="90" zoomScaleNormal="90" workbookViewId="0">
      <selection activeCell="L24" sqref="L24"/>
    </sheetView>
  </sheetViews>
  <sheetFormatPr defaultColWidth="8.88671875" defaultRowHeight="15.6"/>
  <cols>
    <col min="1" max="1" width="8.88671875" style="5"/>
    <col min="2" max="2" width="4.109375" style="5" customWidth="1"/>
    <col min="3" max="3" width="26.109375" style="5" customWidth="1"/>
    <col min="4" max="4" width="12.109375" style="5" bestFit="1" customWidth="1"/>
    <col min="5" max="6" width="8.88671875" style="5"/>
    <col min="7" max="7" width="4.109375" style="5" customWidth="1"/>
    <col min="8" max="16384" width="8.88671875" style="5"/>
  </cols>
  <sheetData>
    <row r="1" spans="2:8" ht="16.2" thickBot="1"/>
    <row r="2" spans="2:8" ht="21" customHeight="1" thickBot="1">
      <c r="B2" s="6" t="s">
        <v>72</v>
      </c>
      <c r="D2" s="7" t="s">
        <v>73</v>
      </c>
      <c r="E2" s="138"/>
      <c r="F2" s="139"/>
    </row>
    <row r="3" spans="2:8" ht="21" customHeight="1" thickBot="1">
      <c r="D3" s="7" t="s">
        <v>74</v>
      </c>
      <c r="E3" s="138"/>
      <c r="F3" s="139"/>
    </row>
    <row r="4" spans="2:8">
      <c r="D4" s="7"/>
      <c r="E4" s="8"/>
      <c r="F4" s="8"/>
    </row>
    <row r="5" spans="2:8">
      <c r="B5" s="5" t="s">
        <v>75</v>
      </c>
    </row>
    <row r="7" spans="2:8" ht="18">
      <c r="B7" s="9" t="s">
        <v>76</v>
      </c>
      <c r="C7" s="7" t="s">
        <v>77</v>
      </c>
      <c r="G7" s="9" t="s">
        <v>78</v>
      </c>
      <c r="H7" s="7" t="s">
        <v>79</v>
      </c>
    </row>
    <row r="8" spans="2:8" ht="16.2" thickBot="1">
      <c r="C8" s="5" t="s">
        <v>80</v>
      </c>
      <c r="H8" s="5" t="s">
        <v>81</v>
      </c>
    </row>
    <row r="9" spans="2:8" ht="16.2" thickBot="1">
      <c r="B9" s="10"/>
      <c r="C9" s="11" t="s">
        <v>82</v>
      </c>
      <c r="G9" s="10"/>
      <c r="H9" s="11" t="s">
        <v>83</v>
      </c>
    </row>
    <row r="10" spans="2:8" ht="16.2" thickBot="1">
      <c r="B10" s="12"/>
      <c r="C10" s="11" t="s">
        <v>84</v>
      </c>
      <c r="G10" s="12"/>
      <c r="H10" s="11" t="s">
        <v>85</v>
      </c>
    </row>
    <row r="11" spans="2:8" ht="16.2" thickBot="1">
      <c r="B11" s="13"/>
      <c r="C11" s="11" t="s">
        <v>86</v>
      </c>
      <c r="G11" s="13"/>
      <c r="H11" s="11" t="s">
        <v>87</v>
      </c>
    </row>
    <row r="12" spans="2:8" ht="16.2" thickBot="1">
      <c r="G12" s="12"/>
      <c r="H12" s="11" t="s">
        <v>88</v>
      </c>
    </row>
    <row r="15" spans="2:8" ht="18">
      <c r="B15" s="9" t="s">
        <v>89</v>
      </c>
      <c r="C15" s="7" t="s">
        <v>90</v>
      </c>
      <c r="G15" s="9" t="s">
        <v>91</v>
      </c>
      <c r="H15" s="7" t="s">
        <v>92</v>
      </c>
    </row>
    <row r="16" spans="2:8" ht="16.2" thickBot="1"/>
    <row r="17" spans="2:8" ht="16.2" thickBot="1">
      <c r="B17" s="10"/>
      <c r="C17" s="11" t="s">
        <v>93</v>
      </c>
      <c r="G17" s="10"/>
      <c r="H17" s="11" t="s">
        <v>94</v>
      </c>
    </row>
    <row r="18" spans="2:8" ht="16.2" thickBot="1">
      <c r="B18" s="12"/>
      <c r="C18" s="11" t="s">
        <v>95</v>
      </c>
      <c r="G18" s="12"/>
      <c r="H18" s="11" t="s">
        <v>96</v>
      </c>
    </row>
    <row r="19" spans="2:8" ht="16.2" thickBot="1">
      <c r="B19" s="13"/>
      <c r="C19" s="11" t="s">
        <v>97</v>
      </c>
      <c r="G19" s="13"/>
      <c r="H19" s="11" t="s">
        <v>98</v>
      </c>
    </row>
  </sheetData>
  <mergeCells count="2">
    <mergeCell ref="E2:F2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activeCell="J21" sqref="J21"/>
    </sheetView>
  </sheetViews>
  <sheetFormatPr defaultRowHeight="14.4"/>
  <cols>
    <col min="1" max="1" width="9.5546875" style="48" bestFit="1" customWidth="1"/>
    <col min="2" max="2" width="6.109375" style="48" customWidth="1"/>
    <col min="3" max="7" width="6.109375" customWidth="1"/>
  </cols>
  <sheetData>
    <row r="1" spans="1:10">
      <c r="C1" t="s">
        <v>122</v>
      </c>
      <c r="D1" t="s">
        <v>121</v>
      </c>
      <c r="E1" s="47" t="s">
        <v>34</v>
      </c>
      <c r="F1" s="47" t="s">
        <v>34</v>
      </c>
      <c r="G1" s="47" t="s">
        <v>34</v>
      </c>
      <c r="H1" s="48" t="s">
        <v>118</v>
      </c>
      <c r="I1" s="48" t="s">
        <v>119</v>
      </c>
      <c r="J1" s="48" t="s">
        <v>120</v>
      </c>
    </row>
    <row r="2" spans="1:10">
      <c r="A2" s="48" t="s">
        <v>114</v>
      </c>
      <c r="H2" s="48">
        <f>SUM(H3:H4)</f>
        <v>-350</v>
      </c>
      <c r="I2" s="48">
        <f t="shared" ref="I2:J2" si="0">SUM(I3:I4)</f>
        <v>-220</v>
      </c>
      <c r="J2" s="48">
        <f t="shared" si="0"/>
        <v>-90</v>
      </c>
    </row>
    <row r="3" spans="1:10">
      <c r="A3" s="48">
        <v>4</v>
      </c>
      <c r="B3" s="47" t="s">
        <v>116</v>
      </c>
      <c r="C3">
        <v>-2</v>
      </c>
      <c r="D3">
        <v>500</v>
      </c>
      <c r="E3">
        <v>0.5</v>
      </c>
      <c r="F3">
        <v>0.4</v>
      </c>
      <c r="G3">
        <v>0.3</v>
      </c>
      <c r="H3">
        <f t="shared" ref="H3:J4" si="1">$C3*$D3*E3</f>
        <v>-500</v>
      </c>
      <c r="I3">
        <f t="shared" si="1"/>
        <v>-400</v>
      </c>
      <c r="J3">
        <f t="shared" si="1"/>
        <v>-300</v>
      </c>
    </row>
    <row r="4" spans="1:10">
      <c r="A4" s="48">
        <f>A3*D3</f>
        <v>2000</v>
      </c>
      <c r="B4" s="47" t="s">
        <v>117</v>
      </c>
      <c r="C4">
        <v>0.6</v>
      </c>
      <c r="D4">
        <v>500</v>
      </c>
      <c r="E4">
        <f>1-E3</f>
        <v>0.5</v>
      </c>
      <c r="F4">
        <f>1-F3</f>
        <v>0.6</v>
      </c>
      <c r="G4">
        <f>1-G3</f>
        <v>0.7</v>
      </c>
      <c r="H4">
        <f t="shared" si="1"/>
        <v>150</v>
      </c>
      <c r="I4">
        <f t="shared" si="1"/>
        <v>180</v>
      </c>
      <c r="J4">
        <f t="shared" si="1"/>
        <v>210</v>
      </c>
    </row>
    <row r="5" spans="1:10">
      <c r="B5" s="47"/>
      <c r="H5" s="49">
        <f>(H2/$A4)</f>
        <v>-0.17499999999999999</v>
      </c>
      <c r="I5" s="49">
        <f t="shared" ref="I5:J5" si="2">(I2/$A4)</f>
        <v>-0.11</v>
      </c>
      <c r="J5" s="49">
        <f t="shared" si="2"/>
        <v>-4.4999999999999998E-2</v>
      </c>
    </row>
    <row r="6" spans="1:10">
      <c r="B6" s="47"/>
    </row>
    <row r="7" spans="1:10">
      <c r="A7" s="48" t="s">
        <v>115</v>
      </c>
      <c r="H7" s="48">
        <f>SUM(H8:H9)</f>
        <v>-50</v>
      </c>
      <c r="I7" s="48">
        <f t="shared" ref="I7" si="3">SUM(I8:I9)</f>
        <v>10</v>
      </c>
      <c r="J7" s="48">
        <f t="shared" ref="J7" si="4">SUM(J8:J9)</f>
        <v>70</v>
      </c>
    </row>
    <row r="8" spans="1:10">
      <c r="A8" s="48">
        <v>6.3</v>
      </c>
      <c r="B8" s="47" t="s">
        <v>116</v>
      </c>
      <c r="C8">
        <v>-0.7</v>
      </c>
      <c r="D8">
        <v>500</v>
      </c>
      <c r="E8">
        <v>0.5</v>
      </c>
      <c r="F8">
        <v>0.4</v>
      </c>
      <c r="G8">
        <v>0.3</v>
      </c>
      <c r="H8">
        <f t="shared" ref="H8:J9" si="5">$C8*$D8*E8</f>
        <v>-175</v>
      </c>
      <c r="I8">
        <f t="shared" si="5"/>
        <v>-140</v>
      </c>
      <c r="J8">
        <f t="shared" si="5"/>
        <v>-105</v>
      </c>
    </row>
    <row r="9" spans="1:10">
      <c r="A9" s="48">
        <f>A8*D8</f>
        <v>3150</v>
      </c>
      <c r="B9" s="47" t="s">
        <v>117</v>
      </c>
      <c r="C9">
        <v>0.5</v>
      </c>
      <c r="D9">
        <v>500</v>
      </c>
      <c r="E9">
        <f>1-E8</f>
        <v>0.5</v>
      </c>
      <c r="F9">
        <f>1-F8</f>
        <v>0.6</v>
      </c>
      <c r="G9">
        <f>1-G8</f>
        <v>0.7</v>
      </c>
      <c r="H9">
        <f t="shared" si="5"/>
        <v>125</v>
      </c>
      <c r="I9">
        <f t="shared" si="5"/>
        <v>150</v>
      </c>
      <c r="J9">
        <f t="shared" si="5"/>
        <v>175</v>
      </c>
    </row>
    <row r="10" spans="1:10">
      <c r="H10" s="49">
        <f>(H7/$A9)</f>
        <v>-1.5873015873015872E-2</v>
      </c>
      <c r="I10" s="49">
        <f t="shared" ref="I10" si="6">(I7/$A9)</f>
        <v>3.1746031746031746E-3</v>
      </c>
      <c r="J10" s="49">
        <f t="shared" ref="J10" si="7">(J7/$A9)</f>
        <v>2.2222222222222223E-2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Regression</vt:lpstr>
      <vt:lpstr>Model</vt:lpstr>
      <vt:lpstr>Trends</vt:lpstr>
      <vt:lpstr>Monthly</vt:lpstr>
      <vt:lpstr>20230630</vt:lpstr>
      <vt:lpstr>portrait</vt:lpstr>
      <vt:lpstr>inx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Kate.Yang</dc:creator>
  <cp:lastModifiedBy>Xue Chunyun(Matthew)</cp:lastModifiedBy>
  <dcterms:created xsi:type="dcterms:W3CDTF">2023-05-26T08:04:57Z</dcterms:created>
  <dcterms:modified xsi:type="dcterms:W3CDTF">2023-09-14T09:24:47Z</dcterms:modified>
</cp:coreProperties>
</file>